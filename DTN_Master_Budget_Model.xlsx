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35E3A106-BC0C-4B15-A5D0-3EC3FFC92A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123" sheetId="1" r:id="rId1"/>
    <sheet name="T456" sheetId="2" r:id="rId2"/>
    <sheet name="T78" sheetId="3" r:id="rId3"/>
    <sheet name="T910" sheetId="4" r:id="rId4"/>
    <sheet name="T1112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E9" i="1" s="1"/>
  <c r="M5" i="3" s="1"/>
  <c r="M18" i="3" s="1"/>
  <c r="D8" i="1"/>
  <c r="C8" i="1"/>
  <c r="F7" i="1"/>
  <c r="C7" i="1"/>
  <c r="D7" i="1"/>
  <c r="E7" i="1"/>
  <c r="B7" i="1"/>
  <c r="C6" i="1"/>
  <c r="D6" i="1"/>
  <c r="E6" i="1"/>
  <c r="B6" i="1"/>
  <c r="E5" i="1"/>
  <c r="D5" i="1"/>
  <c r="C5" i="1"/>
  <c r="G24" i="5"/>
  <c r="F21" i="5"/>
  <c r="G22" i="5" s="1"/>
  <c r="B21" i="5"/>
  <c r="F20" i="5"/>
  <c r="B20" i="5"/>
  <c r="F19" i="5"/>
  <c r="B18" i="5"/>
  <c r="F15" i="5"/>
  <c r="G16" i="5" s="1"/>
  <c r="B11" i="5"/>
  <c r="B10" i="5"/>
  <c r="F8" i="5"/>
  <c r="F7" i="5"/>
  <c r="B6" i="5"/>
  <c r="B5" i="5"/>
  <c r="B10" i="4"/>
  <c r="B5" i="4"/>
  <c r="B7" i="5" s="1"/>
  <c r="B4" i="4"/>
  <c r="M26" i="3"/>
  <c r="J26" i="3"/>
  <c r="M25" i="3"/>
  <c r="J22" i="3"/>
  <c r="J23" i="3" s="1"/>
  <c r="N21" i="3"/>
  <c r="F17" i="3"/>
  <c r="E17" i="3"/>
  <c r="D17" i="3"/>
  <c r="C17" i="3"/>
  <c r="N14" i="3"/>
  <c r="F14" i="3"/>
  <c r="E14" i="3"/>
  <c r="D14" i="3"/>
  <c r="C14" i="3"/>
  <c r="N13" i="3"/>
  <c r="G13" i="3"/>
  <c r="K12" i="3"/>
  <c r="N12" i="3" s="1"/>
  <c r="G12" i="3"/>
  <c r="N11" i="3"/>
  <c r="G11" i="3"/>
  <c r="G10" i="3"/>
  <c r="G14" i="3" s="1"/>
  <c r="D7" i="3"/>
  <c r="B7" i="3"/>
  <c r="B6" i="3"/>
  <c r="C6" i="3" s="1"/>
  <c r="G4" i="3"/>
  <c r="F4" i="3"/>
  <c r="F6" i="3" s="1"/>
  <c r="E4" i="3"/>
  <c r="D4" i="3"/>
  <c r="D6" i="3" s="1"/>
  <c r="C4" i="3"/>
  <c r="C7" i="3" s="1"/>
  <c r="F27" i="2"/>
  <c r="E27" i="2"/>
  <c r="D27" i="2"/>
  <c r="C27" i="2"/>
  <c r="G27" i="2" s="1"/>
  <c r="F24" i="2"/>
  <c r="E24" i="2"/>
  <c r="D24" i="2"/>
  <c r="G24" i="2" s="1"/>
  <c r="K10" i="2" s="1"/>
  <c r="C24" i="2"/>
  <c r="G23" i="2"/>
  <c r="G22" i="2"/>
  <c r="G21" i="2"/>
  <c r="G20" i="2"/>
  <c r="J9" i="2"/>
  <c r="K9" i="2" s="1"/>
  <c r="K8" i="2"/>
  <c r="K7" i="2"/>
  <c r="K6" i="2"/>
  <c r="K5" i="2"/>
  <c r="K4" i="2"/>
  <c r="L17" i="1"/>
  <c r="E16" i="1"/>
  <c r="D15" i="1"/>
  <c r="E17" i="1" s="1"/>
  <c r="F14" i="1"/>
  <c r="E14" i="1"/>
  <c r="D14" i="1"/>
  <c r="C15" i="1" s="1"/>
  <c r="D17" i="1" s="1"/>
  <c r="C14" i="1"/>
  <c r="B14" i="1"/>
  <c r="D9" i="1"/>
  <c r="L5" i="3" s="1"/>
  <c r="L18" i="3" s="1"/>
  <c r="B9" i="1"/>
  <c r="J5" i="3" s="1"/>
  <c r="J18" i="3" s="1"/>
  <c r="L7" i="1"/>
  <c r="F6" i="1"/>
  <c r="E3" i="4" s="1"/>
  <c r="L5" i="1"/>
  <c r="K5" i="1"/>
  <c r="J5" i="1"/>
  <c r="I5" i="1"/>
  <c r="K24" i="3" l="1"/>
  <c r="K25" i="3" s="1"/>
  <c r="J25" i="3"/>
  <c r="B12" i="5"/>
  <c r="C12" i="5" s="1"/>
  <c r="F8" i="1"/>
  <c r="C9" i="1"/>
  <c r="K5" i="3" s="1"/>
  <c r="K18" i="3" s="1"/>
  <c r="F9" i="1"/>
  <c r="N5" i="3" s="1"/>
  <c r="N18" i="3" s="1"/>
  <c r="E6" i="3"/>
  <c r="E7" i="3"/>
  <c r="G7" i="3" s="1"/>
  <c r="E18" i="1"/>
  <c r="B15" i="1"/>
  <c r="C16" i="1"/>
  <c r="D8" i="3"/>
  <c r="D16" i="3" s="1"/>
  <c r="D18" i="3" s="1"/>
  <c r="K10" i="3" s="1"/>
  <c r="F8" i="3"/>
  <c r="F16" i="3" s="1"/>
  <c r="F18" i="3" s="1"/>
  <c r="M10" i="3" s="1"/>
  <c r="F6" i="5"/>
  <c r="C8" i="3"/>
  <c r="G6" i="3"/>
  <c r="D16" i="1"/>
  <c r="D18" i="1" s="1"/>
  <c r="E8" i="4"/>
  <c r="G17" i="3"/>
  <c r="F7" i="3"/>
  <c r="E8" i="3" l="1"/>
  <c r="E16" i="3" s="1"/>
  <c r="E18" i="3" s="1"/>
  <c r="L10" i="3" s="1"/>
  <c r="K4" i="1"/>
  <c r="K6" i="1" s="1"/>
  <c r="D4" i="2"/>
  <c r="D6" i="2" s="1"/>
  <c r="K14" i="1"/>
  <c r="K16" i="1" s="1"/>
  <c r="C16" i="3"/>
  <c r="C18" i="3" s="1"/>
  <c r="J10" i="3" s="1"/>
  <c r="L14" i="1"/>
  <c r="L16" i="1" s="1"/>
  <c r="E4" i="2"/>
  <c r="E6" i="2" s="1"/>
  <c r="L4" i="1"/>
  <c r="L6" i="1" s="1"/>
  <c r="F15" i="1"/>
  <c r="F16" i="1" s="1"/>
  <c r="C17" i="1"/>
  <c r="F17" i="1" s="1"/>
  <c r="B16" i="1"/>
  <c r="B18" i="1" s="1"/>
  <c r="G8" i="3" l="1"/>
  <c r="G16" i="3" s="1"/>
  <c r="J17" i="1"/>
  <c r="K19" i="1" s="1"/>
  <c r="I14" i="1"/>
  <c r="I16" i="1" s="1"/>
  <c r="B4" i="2"/>
  <c r="I4" i="1"/>
  <c r="I6" i="1" s="1"/>
  <c r="E6" i="4"/>
  <c r="G18" i="3"/>
  <c r="N10" i="3" s="1"/>
  <c r="C18" i="1"/>
  <c r="F18" i="1" s="1"/>
  <c r="J7" i="1"/>
  <c r="L8" i="1"/>
  <c r="K7" i="1"/>
  <c r="L9" i="1" s="1"/>
  <c r="D8" i="2"/>
  <c r="L8" i="3" s="1"/>
  <c r="E13" i="2"/>
  <c r="E8" i="2"/>
  <c r="M8" i="3" s="1"/>
  <c r="F13" i="2"/>
  <c r="K17" i="1"/>
  <c r="L19" i="1" s="1"/>
  <c r="L18" i="1"/>
  <c r="L20" i="1" l="1"/>
  <c r="L22" i="1" s="1"/>
  <c r="B6" i="2"/>
  <c r="E15" i="2"/>
  <c r="E16" i="2"/>
  <c r="E17" i="2"/>
  <c r="M16" i="1"/>
  <c r="F16" i="2"/>
  <c r="F17" i="2"/>
  <c r="F15" i="2"/>
  <c r="K8" i="1"/>
  <c r="K11" i="2"/>
  <c r="K12" i="2" s="1"/>
  <c r="K13" i="2" s="1"/>
  <c r="B11" i="4" s="1"/>
  <c r="B8" i="5" s="1"/>
  <c r="M4" i="1"/>
  <c r="M14" i="1"/>
  <c r="L10" i="1"/>
  <c r="L12" i="1" s="1"/>
  <c r="L24" i="1" s="1"/>
  <c r="K9" i="1"/>
  <c r="I9" i="1"/>
  <c r="K18" i="1"/>
  <c r="K20" i="1" s="1"/>
  <c r="K22" i="1" s="1"/>
  <c r="C4" i="2"/>
  <c r="C6" i="2" s="1"/>
  <c r="J14" i="1"/>
  <c r="J16" i="1" s="1"/>
  <c r="J4" i="1"/>
  <c r="J6" i="1" s="1"/>
  <c r="F4" i="2" l="1"/>
  <c r="F18" i="2"/>
  <c r="F26" i="2" s="1"/>
  <c r="F28" i="2" s="1"/>
  <c r="M9" i="3" s="1"/>
  <c r="I7" i="1"/>
  <c r="J8" i="1"/>
  <c r="I17" i="1"/>
  <c r="J18" i="1"/>
  <c r="C8" i="2"/>
  <c r="K8" i="3" s="1"/>
  <c r="D13" i="2"/>
  <c r="B16" i="5"/>
  <c r="L26" i="1"/>
  <c r="M6" i="1"/>
  <c r="C13" i="2"/>
  <c r="B8" i="2"/>
  <c r="F6" i="2"/>
  <c r="G13" i="2" s="1"/>
  <c r="F9" i="5"/>
  <c r="C8" i="5"/>
  <c r="C13" i="5" s="1"/>
  <c r="K10" i="1"/>
  <c r="K12" i="1" s="1"/>
  <c r="K24" i="1" s="1"/>
  <c r="E18" i="2"/>
  <c r="E26" i="2" s="1"/>
  <c r="E28" i="2" s="1"/>
  <c r="L9" i="3" s="1"/>
  <c r="F8" i="2" l="1"/>
  <c r="J8" i="3"/>
  <c r="C17" i="2"/>
  <c r="C15" i="2"/>
  <c r="C16" i="2"/>
  <c r="J19" i="1"/>
  <c r="M19" i="1" s="1"/>
  <c r="M17" i="1"/>
  <c r="I18" i="1"/>
  <c r="F10" i="5"/>
  <c r="L27" i="1"/>
  <c r="L28" i="1" s="1"/>
  <c r="M7" i="3" s="1"/>
  <c r="M15" i="3" s="1"/>
  <c r="M19" i="3" s="1"/>
  <c r="K26" i="1"/>
  <c r="D15" i="2"/>
  <c r="D17" i="2"/>
  <c r="D16" i="2"/>
  <c r="J9" i="1"/>
  <c r="M9" i="1" s="1"/>
  <c r="M7" i="1"/>
  <c r="I8" i="1"/>
  <c r="G16" i="2" l="1"/>
  <c r="J10" i="1"/>
  <c r="J12" i="1" s="1"/>
  <c r="M18" i="1"/>
  <c r="I20" i="1"/>
  <c r="M8" i="1"/>
  <c r="I10" i="1"/>
  <c r="C18" i="2"/>
  <c r="G15" i="2"/>
  <c r="G17" i="2"/>
  <c r="J20" i="1"/>
  <c r="J22" i="1" s="1"/>
  <c r="D18" i="2"/>
  <c r="D26" i="2" s="1"/>
  <c r="D28" i="2" s="1"/>
  <c r="K9" i="3" s="1"/>
  <c r="B7" i="4"/>
  <c r="N8" i="3"/>
  <c r="J24" i="1" l="1"/>
  <c r="I12" i="1"/>
  <c r="M10" i="1"/>
  <c r="K27" i="1"/>
  <c r="K28" i="1" s="1"/>
  <c r="L7" i="3" s="1"/>
  <c r="L15" i="3" s="1"/>
  <c r="L19" i="3" s="1"/>
  <c r="J26" i="1"/>
  <c r="C26" i="2"/>
  <c r="G18" i="2"/>
  <c r="I22" i="1"/>
  <c r="M22" i="1" s="1"/>
  <c r="M20" i="1"/>
  <c r="G26" i="2" l="1"/>
  <c r="C28" i="2"/>
  <c r="J9" i="3" s="1"/>
  <c r="M12" i="1"/>
  <c r="M24" i="1" s="1"/>
  <c r="B3" i="4" s="1"/>
  <c r="B6" i="4" s="1"/>
  <c r="I24" i="1"/>
  <c r="J27" i="1" l="1"/>
  <c r="I26" i="1"/>
  <c r="G28" i="2"/>
  <c r="N9" i="3" s="1"/>
  <c r="B8" i="4"/>
  <c r="B9" i="4" s="1"/>
  <c r="B12" i="4" s="1"/>
  <c r="E4" i="4" s="1"/>
  <c r="E5" i="4" s="1"/>
  <c r="E7" i="4" s="1"/>
  <c r="E9" i="4" s="1"/>
  <c r="E10" i="4" l="1"/>
  <c r="B17" i="5" s="1"/>
  <c r="M26" i="1"/>
  <c r="I28" i="1"/>
  <c r="M27" i="1"/>
  <c r="J28" i="1"/>
  <c r="K7" i="3" s="1"/>
  <c r="K15" i="3" s="1"/>
  <c r="K19" i="3" s="1"/>
  <c r="K20" i="3" s="1"/>
  <c r="E11" i="4" l="1"/>
  <c r="L17" i="3"/>
  <c r="K22" i="3"/>
  <c r="B22" i="5"/>
  <c r="C22" i="5" s="1"/>
  <c r="F4" i="5"/>
  <c r="J7" i="3"/>
  <c r="J15" i="3" s="1"/>
  <c r="M28" i="1"/>
  <c r="N7" i="3" s="1"/>
  <c r="F11" i="5"/>
  <c r="C18" i="5"/>
  <c r="C23" i="5" l="1"/>
  <c r="N15" i="3"/>
  <c r="N19" i="3" s="1"/>
  <c r="J19" i="3"/>
  <c r="G12" i="5"/>
  <c r="G23" i="5" s="1"/>
  <c r="G25" i="5" s="1"/>
  <c r="L20" i="3"/>
  <c r="K26" i="3"/>
  <c r="M17" i="3" l="1"/>
  <c r="L22" i="3"/>
  <c r="L26" i="3" l="1"/>
  <c r="M20" i="3"/>
  <c r="M22" i="3" s="1"/>
</calcChain>
</file>

<file path=xl/sharedStrings.xml><?xml version="1.0" encoding="utf-8"?>
<sst xmlns="http://schemas.openxmlformats.org/spreadsheetml/2006/main" count="262" uniqueCount="185">
  <si>
    <t>T1</t>
  </si>
  <si>
    <t>T4</t>
  </si>
  <si>
    <t>T7</t>
  </si>
  <si>
    <t>T3</t>
  </si>
  <si>
    <t>DTN Boat Company
 2024 Sales Budget</t>
  </si>
  <si>
    <t>T8</t>
  </si>
  <si>
    <t>T6</t>
  </si>
  <si>
    <t>DTN Boat Company
 2024 Selling and Administrative (S&amp;A) Expense Budget</t>
  </si>
  <si>
    <t>DTN Boat Company
 2024 Direct Labor Budget</t>
  </si>
  <si>
    <t>T9</t>
  </si>
  <si>
    <t>T10</t>
  </si>
  <si>
    <t>DTN Boat Company
 2024 Budgeted Product Cost Sheet</t>
  </si>
  <si>
    <t>DTN Boat Company
 2024 Direct Materials Budget</t>
  </si>
  <si>
    <t>DTN Boat Company
 2024 Cash Budget</t>
  </si>
  <si>
    <t>DTN Boat Company
 Budgeted Cost of Goods Sold
 For the year Ended December 31, 2024</t>
  </si>
  <si>
    <t>Q1</t>
  </si>
  <si>
    <t>DTN Boat Company
 Budgeted Income Statement
 For the year Ended December 31, 2024</t>
  </si>
  <si>
    <t>Variable S&amp;A expenses</t>
  </si>
  <si>
    <t>Q2</t>
  </si>
  <si>
    <t>Q3</t>
  </si>
  <si>
    <t>Q4</t>
  </si>
  <si>
    <t>Total</t>
  </si>
  <si>
    <t>Direct materials purchases</t>
  </si>
  <si>
    <t>Wood</t>
  </si>
  <si>
    <t>$</t>
  </si>
  <si>
    <t>Production volume</t>
  </si>
  <si>
    <t>Sales volume</t>
  </si>
  <si>
    <t>Sales revenue</t>
  </si>
  <si>
    <t>Price</t>
  </si>
  <si>
    <t>Direct materials beginning inventory</t>
  </si>
  <si>
    <t>Standard feet per boat (100 feet)</t>
  </si>
  <si>
    <t>Cost of goods sold</t>
  </si>
  <si>
    <t>Revenue earned</t>
  </si>
  <si>
    <t>Direct materials cost per boat</t>
  </si>
  <si>
    <t>Less direct materials ending inventory</t>
  </si>
  <si>
    <t>Receipts:</t>
  </si>
  <si>
    <t>Variable expense per boat sold:</t>
  </si>
  <si>
    <t>Wood needed in production</t>
  </si>
  <si>
    <t>- Collections from customers</t>
  </si>
  <si>
    <t>Standard hours per boat</t>
  </si>
  <si>
    <t>- Wood</t>
  </si>
  <si>
    <t>- Gross margin</t>
  </si>
  <si>
    <t>Budgeted labor hours</t>
  </si>
  <si>
    <t>Direct materials costs in production</t>
  </si>
  <si>
    <t>- Delivery expense</t>
  </si>
  <si>
    <t>Desired ending inventory</t>
  </si>
  <si>
    <t>Selling and Administrative expense</t>
  </si>
  <si>
    <t>- Fiberglass</t>
  </si>
  <si>
    <t>Direct labor costs in production</t>
  </si>
  <si>
    <t>Prior revenue collected</t>
  </si>
  <si>
    <t>Standard wage rate per hour</t>
  </si>
  <si>
    <t>- Operating income</t>
  </si>
  <si>
    <t>Total wood need</t>
  </si>
  <si>
    <t>Direct labor cost per boat</t>
  </si>
  <si>
    <t>Direct labor cost</t>
  </si>
  <si>
    <t>MOH costs in production</t>
  </si>
  <si>
    <t>Payments:</t>
  </si>
  <si>
    <t>- Sales commissions</t>
  </si>
  <si>
    <t>Interest expense</t>
  </si>
  <si>
    <t>Collections from customers</t>
  </si>
  <si>
    <t>- Cost of goods manufactured</t>
  </si>
  <si>
    <t>Net income before tax</t>
  </si>
  <si>
    <t>Less beginning inventory</t>
  </si>
  <si>
    <t>- Direct materials</t>
  </si>
  <si>
    <t>Variable MOH cost per boat</t>
  </si>
  <si>
    <t>Finished goods beginning inventory</t>
  </si>
  <si>
    <t>Income taxes (40%)</t>
  </si>
  <si>
    <t>Total variable cost per boat</t>
  </si>
  <si>
    <t>Total wood purchase</t>
  </si>
  <si>
    <t>Less finish goods ending inventory</t>
  </si>
  <si>
    <t>Total variable S&amp;A expenses</t>
  </si>
  <si>
    <t>T5</t>
  </si>
  <si>
    <t>Total fixed MOH</t>
  </si>
  <si>
    <t>Net income after tax</t>
  </si>
  <si>
    <t>DTN Boat Company
 2024 Manufacturing Overhead Budget</t>
  </si>
  <si>
    <t>T2</t>
  </si>
  <si>
    <t>- Direct labor</t>
  </si>
  <si>
    <t>- Cost of goods sold</t>
  </si>
  <si>
    <t>Standard purchase price</t>
  </si>
  <si>
    <t>Divided by production volume</t>
  </si>
  <si>
    <t>DTN Boat Company
 2024 Production Budget</t>
  </si>
  <si>
    <t>Total wood purchases</t>
  </si>
  <si>
    <t>Variable MOH costs</t>
  </si>
  <si>
    <t>Fixed MOH cost allocated per boat</t>
  </si>
  <si>
    <t>Fixed S&amp;A expenses per quarter</t>
  </si>
  <si>
    <t>- Manufacturing Overhead</t>
  </si>
  <si>
    <t>Total labor hour</t>
  </si>
  <si>
    <t>Fiberglass</t>
  </si>
  <si>
    <t>Total production cost per boat</t>
  </si>
  <si>
    <t>Executives’ salaries</t>
  </si>
  <si>
    <t>Variable MOH rates per hour:</t>
  </si>
  <si>
    <t>Indirect materials</t>
  </si>
  <si>
    <t>- Selling and Administrative expenses</t>
  </si>
  <si>
    <t>Depreciation expense</t>
  </si>
  <si>
    <t>- Income tax payment for 2023</t>
  </si>
  <si>
    <t>Indirect labor</t>
  </si>
  <si>
    <t>Advertising expense</t>
  </si>
  <si>
    <t>- Interest payment</t>
  </si>
  <si>
    <t>Standard feet per boat</t>
  </si>
  <si>
    <t>Utilities</t>
  </si>
  <si>
    <t>Total boats needs</t>
  </si>
  <si>
    <t>Miscellaneous expense</t>
  </si>
  <si>
    <t>- Dividends</t>
  </si>
  <si>
    <t>Total fixed S&amp;A expenses</t>
  </si>
  <si>
    <t>Total variable MOH costs</t>
  </si>
  <si>
    <t>Fiberglass needed in production</t>
  </si>
  <si>
    <t>- Equipment purchase</t>
  </si>
  <si>
    <t>Fixed MOH cost per quarter</t>
  </si>
  <si>
    <t>Total payments</t>
  </si>
  <si>
    <t>Property tax</t>
  </si>
  <si>
    <t>Total S&amp;A expenses</t>
  </si>
  <si>
    <t>Insurance</t>
  </si>
  <si>
    <t>Depreciation – plant</t>
  </si>
  <si>
    <t>Supervisor’s salaries</t>
  </si>
  <si>
    <t>Financing:</t>
  </si>
  <si>
    <t>Less depreciation</t>
  </si>
  <si>
    <t>Total fixed MOH costs</t>
  </si>
  <si>
    <t>- Beginning cash balance</t>
  </si>
  <si>
    <t>Total boats to produce</t>
  </si>
  <si>
    <t>Total S&amp;A payments</t>
  </si>
  <si>
    <t>Total MOH costs</t>
  </si>
  <si>
    <t>- Total receipts</t>
  </si>
  <si>
    <t>Total fiberglass need</t>
  </si>
  <si>
    <t>- Total payments</t>
  </si>
  <si>
    <t>Cash available</t>
  </si>
  <si>
    <t>- Minimum cash balance desired</t>
  </si>
  <si>
    <t>Total fiberglass purchase</t>
  </si>
  <si>
    <t>- Cash excess (deficiency)</t>
  </si>
  <si>
    <t>- Borrowings</t>
  </si>
  <si>
    <t>Total MOH payments</t>
  </si>
  <si>
    <t>Total fiberglass purchases</t>
  </si>
  <si>
    <t>- Repayments of principle</t>
  </si>
  <si>
    <t>Total financing inflows (outflows)</t>
  </si>
  <si>
    <t>Ending cash balance</t>
  </si>
  <si>
    <t>Total materials purchases</t>
  </si>
  <si>
    <t>Paid in current quarter</t>
  </si>
  <si>
    <t>Current purchase payments</t>
  </si>
  <si>
    <t>Prior purchase payments</t>
  </si>
  <si>
    <t>T11</t>
  </si>
  <si>
    <t>T12</t>
  </si>
  <si>
    <t>Payments to suppliers</t>
  </si>
  <si>
    <t>DTN Boat Company
 Budgeted Balance Sheet
 December 31,2024</t>
  </si>
  <si>
    <t>Assets</t>
  </si>
  <si>
    <t>Cash flow from operating activities:</t>
  </si>
  <si>
    <t>Current assets:</t>
  </si>
  <si>
    <t>Net income</t>
  </si>
  <si>
    <t>Cash</t>
  </si>
  <si>
    <t>Adjustment:</t>
  </si>
  <si>
    <t>Accounts receivable</t>
  </si>
  <si>
    <t>- Depreciation</t>
  </si>
  <si>
    <t>Direct materials inventory1</t>
  </si>
  <si>
    <r>
      <rPr>
        <sz val="12"/>
        <color theme="1"/>
        <rFont val="Times New Roman"/>
        <family val="1"/>
      </rPr>
      <t xml:space="preserve">- Accounts receivable increase </t>
    </r>
    <r>
      <rPr>
        <sz val="12"/>
        <color rgb="FFFF0000"/>
        <rFont val="Times New Roman"/>
        <family val="1"/>
      </rPr>
      <t>(decrease)</t>
    </r>
  </si>
  <si>
    <t>Finish goods inventory2</t>
  </si>
  <si>
    <r>
      <rPr>
        <sz val="12"/>
        <color theme="1"/>
        <rFont val="Times New Roman"/>
        <family val="1"/>
      </rPr>
      <t xml:space="preserve">- Direct materials inventory </t>
    </r>
    <r>
      <rPr>
        <sz val="12"/>
        <color rgb="FFFF0000"/>
        <rFont val="Times New Roman"/>
        <family val="1"/>
      </rPr>
      <t>increase</t>
    </r>
    <r>
      <rPr>
        <sz val="12"/>
        <color theme="1"/>
        <rFont val="Times New Roman"/>
        <family val="1"/>
      </rPr>
      <t xml:space="preserve"> (decrease)</t>
    </r>
  </si>
  <si>
    <t>Long-term assets:</t>
  </si>
  <si>
    <r>
      <rPr>
        <sz val="12"/>
        <color theme="1"/>
        <rFont val="Times New Roman"/>
        <family val="1"/>
      </rPr>
      <t xml:space="preserve">- Finished goods inventory </t>
    </r>
    <r>
      <rPr>
        <sz val="12"/>
        <color rgb="FFFF0000"/>
        <rFont val="Times New Roman"/>
        <family val="1"/>
      </rPr>
      <t>increase</t>
    </r>
    <r>
      <rPr>
        <sz val="12"/>
        <color theme="1"/>
        <rFont val="Times New Roman"/>
        <family val="1"/>
      </rPr>
      <t xml:space="preserve"> (decrease)</t>
    </r>
  </si>
  <si>
    <t>Land</t>
  </si>
  <si>
    <r>
      <rPr>
        <sz val="12"/>
        <color theme="1"/>
        <rFont val="Times New Roman"/>
        <family val="1"/>
      </rPr>
      <t xml:space="preserve">- Account payable increase </t>
    </r>
    <r>
      <rPr>
        <sz val="12"/>
        <color rgb="FFFF0000"/>
        <rFont val="Times New Roman"/>
        <family val="1"/>
      </rPr>
      <t>(decrease)</t>
    </r>
  </si>
  <si>
    <t>Building and equipment</t>
  </si>
  <si>
    <r>
      <rPr>
        <sz val="12"/>
        <color theme="1"/>
        <rFont val="Times New Roman"/>
        <family val="1"/>
      </rPr>
      <t>- Income taxes payable increase</t>
    </r>
    <r>
      <rPr>
        <sz val="12"/>
        <color rgb="FFFF0000"/>
        <rFont val="Times New Roman"/>
        <family val="1"/>
      </rPr>
      <t xml:space="preserve"> (decrease)</t>
    </r>
  </si>
  <si>
    <t>Less acumulated depreciation</t>
  </si>
  <si>
    <t>Net cash provided by operating activities</t>
  </si>
  <si>
    <t>Total assets</t>
  </si>
  <si>
    <t>Liabilites and Stockholder’s Equity</t>
  </si>
  <si>
    <t>Cash flow from investment activities</t>
  </si>
  <si>
    <t>Current liabilities:</t>
  </si>
  <si>
    <t>- Purchase of equipment</t>
  </si>
  <si>
    <t>Account payable3</t>
  </si>
  <si>
    <t>Net cash used in investment activities</t>
  </si>
  <si>
    <t>Income taxes payable3</t>
  </si>
  <si>
    <t>Short-term loan payable</t>
  </si>
  <si>
    <t>Cash flow from financing activities</t>
  </si>
  <si>
    <t>Stockholder’s equity:</t>
  </si>
  <si>
    <t>- Cash obtained from borrowing</t>
  </si>
  <si>
    <t>Common stock, $5 par</t>
  </si>
  <si>
    <t>- Payment of dividends</t>
  </si>
  <si>
    <t>Paid-in captial in excess of par</t>
  </si>
  <si>
    <t xml:space="preserve">- Repay of borowing </t>
  </si>
  <si>
    <t>Retained earnings</t>
  </si>
  <si>
    <t>Net cash used in financing activities:</t>
  </si>
  <si>
    <t>Total liabilities and stockholder’s equity</t>
  </si>
  <si>
    <t>- Net increase (decrease) in cash</t>
  </si>
  <si>
    <t>Beginning cash balance</t>
  </si>
  <si>
    <r>
      <t xml:space="preserve">Received in current quarter </t>
    </r>
    <r>
      <rPr>
        <sz val="12"/>
        <color rgb="FFFF0000"/>
        <rFont val="Times New Roman"/>
        <family val="1"/>
      </rPr>
      <t>*80%</t>
    </r>
  </si>
  <si>
    <r>
      <t>Desired ending inventory</t>
    </r>
    <r>
      <rPr>
        <sz val="12"/>
        <color rgb="FFFF0000"/>
        <rFont val="Times New Roman"/>
        <family val="1"/>
      </rPr>
      <t>*50% next Quarter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</si>
</sst>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"/>
  </numFmts>
  <fonts count="7" x14ac:knownFonts="1">
    <font>
      <sz val="10"/>
      <color rgb="FF000000"/>
      <name val="Arial"/>
      <scheme val="minor"/>
    </font>
    <font>
      <b/>
      <sz val="12"/>
      <color theme="1"/>
      <name val="Times New Roman"/>
      <family val="1"/>
    </font>
    <font>
      <sz val="10"/>
      <name val="Arial"/>
      <family val="2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/>
    </xf>
    <xf numFmtId="0" fontId="3" fillId="0" borderId="4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3" fillId="0" borderId="0" xfId="0" applyFont="1"/>
    <xf numFmtId="0" fontId="3" fillId="0" borderId="4" xfId="0" applyFont="1" applyBorder="1" applyAlignment="1">
      <alignment horizontal="left" vertical="top"/>
    </xf>
    <xf numFmtId="0" fontId="3" fillId="0" borderId="4" xfId="0" applyFont="1" applyBorder="1"/>
    <xf numFmtId="0" fontId="2" fillId="0" borderId="2" xfId="0" applyFont="1" applyBorder="1"/>
    <xf numFmtId="0" fontId="2" fillId="0" borderId="3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5" fillId="0" borderId="2" xfId="0" applyFont="1" applyBorder="1"/>
    <xf numFmtId="0" fontId="5" fillId="0" borderId="3" xfId="0" applyFont="1" applyBorder="1"/>
    <xf numFmtId="0" fontId="6" fillId="0" borderId="0" xfId="0" applyFont="1"/>
    <xf numFmtId="0" fontId="1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vertical="top" wrapText="1"/>
    </xf>
    <xf numFmtId="0" fontId="1" fillId="0" borderId="6" xfId="0" applyFont="1" applyBorder="1" applyAlignment="1">
      <alignment horizontal="center" vertical="top"/>
    </xf>
    <xf numFmtId="0" fontId="2" fillId="0" borderId="7" xfId="0" applyFont="1" applyBorder="1"/>
    <xf numFmtId="0" fontId="2" fillId="0" borderId="8" xfId="0" applyFont="1" applyBorder="1"/>
    <xf numFmtId="0" fontId="1" fillId="0" borderId="5" xfId="0" applyFont="1" applyBorder="1" applyAlignment="1">
      <alignment horizontal="center" vertical="top" wrapText="1"/>
    </xf>
    <xf numFmtId="4" fontId="3" fillId="0" borderId="4" xfId="0" applyNumberFormat="1" applyFont="1" applyBorder="1" applyAlignment="1">
      <alignment vertical="top"/>
    </xf>
    <xf numFmtId="168" fontId="3" fillId="0" borderId="4" xfId="0" applyNumberFormat="1" applyFont="1" applyBorder="1" applyAlignment="1">
      <alignment vertical="top"/>
    </xf>
    <xf numFmtId="3" fontId="3" fillId="0" borderId="4" xfId="0" applyNumberFormat="1" applyFont="1" applyBorder="1" applyAlignment="1">
      <alignment vertical="top"/>
    </xf>
    <xf numFmtId="3" fontId="1" fillId="0" borderId="4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28"/>
  <sheetViews>
    <sheetView tabSelected="1" topLeftCell="B12" workbookViewId="0">
      <selection activeCell="I28" sqref="I28"/>
    </sheetView>
  </sheetViews>
  <sheetFormatPr defaultColWidth="12.6640625" defaultRowHeight="15.75" customHeight="1" x14ac:dyDescent="0.25"/>
  <cols>
    <col min="1" max="1" width="40.109375" customWidth="1"/>
    <col min="8" max="8" width="31.44140625" customWidth="1"/>
  </cols>
  <sheetData>
    <row r="1" spans="1:13" ht="15.75" customHeight="1" x14ac:dyDescent="0.3">
      <c r="A1" s="1" t="s">
        <v>0</v>
      </c>
      <c r="B1" s="1"/>
      <c r="C1" s="1"/>
      <c r="D1" s="1"/>
      <c r="E1" s="1"/>
      <c r="F1" s="1"/>
      <c r="H1" s="1" t="s">
        <v>3</v>
      </c>
    </row>
    <row r="2" spans="1:13" ht="15.75" customHeight="1" x14ac:dyDescent="0.3">
      <c r="A2" s="9" t="s">
        <v>4</v>
      </c>
      <c r="B2" s="11"/>
      <c r="C2" s="11"/>
      <c r="D2" s="11"/>
      <c r="E2" s="11"/>
      <c r="F2" s="12"/>
      <c r="H2" s="9" t="s">
        <v>12</v>
      </c>
      <c r="I2" s="7"/>
      <c r="J2" s="7"/>
      <c r="K2" s="7"/>
      <c r="L2" s="7"/>
      <c r="M2" s="8"/>
    </row>
    <row r="3" spans="1:13" ht="15.6" x14ac:dyDescent="0.25">
      <c r="A3" s="2"/>
      <c r="B3" s="2" t="s">
        <v>15</v>
      </c>
      <c r="C3" s="2" t="s">
        <v>18</v>
      </c>
      <c r="D3" s="2" t="s">
        <v>19</v>
      </c>
      <c r="E3" s="2" t="s">
        <v>20</v>
      </c>
      <c r="F3" s="2" t="s">
        <v>21</v>
      </c>
      <c r="H3" s="3" t="s">
        <v>23</v>
      </c>
      <c r="I3" s="3" t="s">
        <v>15</v>
      </c>
      <c r="J3" s="3" t="s">
        <v>18</v>
      </c>
      <c r="K3" s="3" t="s">
        <v>19</v>
      </c>
      <c r="L3" s="3" t="s">
        <v>20</v>
      </c>
      <c r="M3" s="3" t="s">
        <v>21</v>
      </c>
    </row>
    <row r="4" spans="1:13" ht="15.6" x14ac:dyDescent="0.25">
      <c r="A4" s="2" t="s">
        <v>26</v>
      </c>
      <c r="B4" s="22">
        <v>20</v>
      </c>
      <c r="C4" s="22">
        <v>40</v>
      </c>
      <c r="D4" s="22">
        <v>30</v>
      </c>
      <c r="E4" s="22">
        <v>10</v>
      </c>
      <c r="F4" s="22">
        <v>100</v>
      </c>
      <c r="H4" s="2" t="s">
        <v>25</v>
      </c>
      <c r="I4" s="22">
        <f t="shared" ref="I4:M4" si="0">B18</f>
        <v>30</v>
      </c>
      <c r="J4" s="22">
        <f t="shared" si="0"/>
        <v>35</v>
      </c>
      <c r="K4" s="22">
        <f t="shared" si="0"/>
        <v>20</v>
      </c>
      <c r="L4" s="22">
        <f t="shared" si="0"/>
        <v>20</v>
      </c>
      <c r="M4" s="22">
        <f t="shared" si="0"/>
        <v>105</v>
      </c>
    </row>
    <row r="5" spans="1:13" ht="15.6" x14ac:dyDescent="0.25">
      <c r="A5" s="2" t="s">
        <v>28</v>
      </c>
      <c r="B5" s="22">
        <v>10000</v>
      </c>
      <c r="C5" s="22">
        <f>B5</f>
        <v>10000</v>
      </c>
      <c r="D5" s="22">
        <f>C5</f>
        <v>10000</v>
      </c>
      <c r="E5" s="22">
        <f>D5</f>
        <v>10000</v>
      </c>
      <c r="F5" s="22"/>
      <c r="H5" s="2" t="s">
        <v>30</v>
      </c>
      <c r="I5" s="22">
        <f t="shared" ref="I5:L5" si="1">100</f>
        <v>100</v>
      </c>
      <c r="J5" s="22">
        <f t="shared" si="1"/>
        <v>100</v>
      </c>
      <c r="K5" s="22">
        <f t="shared" si="1"/>
        <v>100</v>
      </c>
      <c r="L5" s="22">
        <f t="shared" si="1"/>
        <v>100</v>
      </c>
      <c r="M5" s="22"/>
    </row>
    <row r="6" spans="1:13" ht="15.6" x14ac:dyDescent="0.25">
      <c r="A6" s="2" t="s">
        <v>32</v>
      </c>
      <c r="B6" s="22">
        <f>B4*B5</f>
        <v>200000</v>
      </c>
      <c r="C6" s="22">
        <f t="shared" ref="C6:E6" si="2">C4*C5</f>
        <v>400000</v>
      </c>
      <c r="D6" s="22">
        <f t="shared" si="2"/>
        <v>300000</v>
      </c>
      <c r="E6" s="22">
        <f t="shared" si="2"/>
        <v>100000</v>
      </c>
      <c r="F6" s="22">
        <f>SUM(B6:E6)</f>
        <v>1000000</v>
      </c>
      <c r="H6" s="2" t="s">
        <v>37</v>
      </c>
      <c r="I6" s="22">
        <f t="shared" ref="I6:L6" si="3">I4*I5</f>
        <v>3000</v>
      </c>
      <c r="J6" s="22">
        <f t="shared" si="3"/>
        <v>3500</v>
      </c>
      <c r="K6" s="22">
        <f t="shared" si="3"/>
        <v>2000</v>
      </c>
      <c r="L6" s="22">
        <f t="shared" si="3"/>
        <v>2000</v>
      </c>
      <c r="M6" s="22">
        <f t="shared" ref="M6:M10" si="4">SUM(I6:L6)</f>
        <v>10500</v>
      </c>
    </row>
    <row r="7" spans="1:13" ht="15.6" x14ac:dyDescent="0.25">
      <c r="A7" s="2" t="s">
        <v>183</v>
      </c>
      <c r="B7" s="22">
        <f>B6*80%</f>
        <v>160000</v>
      </c>
      <c r="C7" s="22">
        <f t="shared" ref="C7:E7" si="5">C6*80%</f>
        <v>320000</v>
      </c>
      <c r="D7" s="22">
        <f t="shared" si="5"/>
        <v>240000</v>
      </c>
      <c r="E7" s="22">
        <f t="shared" si="5"/>
        <v>80000</v>
      </c>
      <c r="F7" s="22">
        <f t="shared" ref="F7:F9" si="6">SUM(B7:E7)</f>
        <v>800000</v>
      </c>
      <c r="H7" s="2" t="s">
        <v>45</v>
      </c>
      <c r="I7" s="22">
        <f t="shared" ref="I7:K7" si="7">30%*J6</f>
        <v>1050</v>
      </c>
      <c r="J7" s="22">
        <f t="shared" si="7"/>
        <v>600</v>
      </c>
      <c r="K7" s="22">
        <f t="shared" si="7"/>
        <v>600</v>
      </c>
      <c r="L7" s="22">
        <f>30%*30*100</f>
        <v>900</v>
      </c>
      <c r="M7" s="22">
        <f t="shared" si="4"/>
        <v>3150</v>
      </c>
    </row>
    <row r="8" spans="1:13" ht="15.6" x14ac:dyDescent="0.25">
      <c r="A8" s="2" t="s">
        <v>49</v>
      </c>
      <c r="B8" s="22">
        <v>60000</v>
      </c>
      <c r="C8" s="22">
        <f>B6-B7</f>
        <v>40000</v>
      </c>
      <c r="D8" s="22">
        <f>C6-C7</f>
        <v>80000</v>
      </c>
      <c r="E8" s="22">
        <f>D6-D7</f>
        <v>60000</v>
      </c>
      <c r="F8" s="22">
        <f t="shared" si="6"/>
        <v>240000</v>
      </c>
      <c r="H8" s="2" t="s">
        <v>52</v>
      </c>
      <c r="I8" s="22">
        <f t="shared" ref="I8:L8" si="8">I6+I7</f>
        <v>4050</v>
      </c>
      <c r="J8" s="22">
        <f t="shared" si="8"/>
        <v>4100</v>
      </c>
      <c r="K8" s="22">
        <f t="shared" si="8"/>
        <v>2600</v>
      </c>
      <c r="L8" s="22">
        <f t="shared" si="8"/>
        <v>2900</v>
      </c>
      <c r="M8" s="22">
        <f t="shared" si="4"/>
        <v>13650</v>
      </c>
    </row>
    <row r="9" spans="1:13" ht="15.6" x14ac:dyDescent="0.25">
      <c r="A9" s="2" t="s">
        <v>59</v>
      </c>
      <c r="B9" s="22">
        <f t="shared" ref="B9:F9" si="9">B7+B8</f>
        <v>220000</v>
      </c>
      <c r="C9" s="22">
        <f t="shared" si="9"/>
        <v>360000</v>
      </c>
      <c r="D9" s="22">
        <f t="shared" si="9"/>
        <v>320000</v>
      </c>
      <c r="E9" s="22">
        <f t="shared" si="9"/>
        <v>140000</v>
      </c>
      <c r="F9" s="22">
        <f t="shared" si="6"/>
        <v>1040000</v>
      </c>
      <c r="H9" s="2" t="s">
        <v>62</v>
      </c>
      <c r="I9" s="22">
        <f>J7</f>
        <v>600</v>
      </c>
      <c r="J9" s="22">
        <f t="shared" ref="J9:L9" si="10">I7</f>
        <v>1050</v>
      </c>
      <c r="K9" s="22">
        <f t="shared" si="10"/>
        <v>600</v>
      </c>
      <c r="L9" s="22">
        <f t="shared" si="10"/>
        <v>600</v>
      </c>
      <c r="M9" s="22">
        <f t="shared" si="4"/>
        <v>2850</v>
      </c>
    </row>
    <row r="10" spans="1:13" ht="15.6" x14ac:dyDescent="0.3">
      <c r="A10" s="13"/>
      <c r="B10" s="13"/>
      <c r="C10" s="13"/>
      <c r="D10" s="13"/>
      <c r="E10" s="13"/>
      <c r="F10" s="13"/>
      <c r="H10" s="2" t="s">
        <v>68</v>
      </c>
      <c r="I10" s="22">
        <f t="shared" ref="I10:L10" si="11">I8-I9</f>
        <v>3450</v>
      </c>
      <c r="J10" s="22">
        <f t="shared" si="11"/>
        <v>3050</v>
      </c>
      <c r="K10" s="22">
        <f t="shared" si="11"/>
        <v>2000</v>
      </c>
      <c r="L10" s="22">
        <f t="shared" si="11"/>
        <v>2300</v>
      </c>
      <c r="M10" s="22">
        <f t="shared" si="4"/>
        <v>10800</v>
      </c>
    </row>
    <row r="11" spans="1:13" ht="15.75" customHeight="1" x14ac:dyDescent="0.3">
      <c r="A11" s="1" t="s">
        <v>75</v>
      </c>
      <c r="B11" s="4"/>
      <c r="C11" s="4"/>
      <c r="D11" s="4"/>
      <c r="E11" s="4"/>
      <c r="F11" s="4"/>
      <c r="H11" s="2" t="s">
        <v>78</v>
      </c>
      <c r="I11" s="22">
        <v>10</v>
      </c>
      <c r="J11" s="22">
        <v>10</v>
      </c>
      <c r="K11" s="22">
        <v>10</v>
      </c>
      <c r="L11" s="22">
        <v>10</v>
      </c>
      <c r="M11" s="22"/>
    </row>
    <row r="12" spans="1:13" ht="15.75" customHeight="1" x14ac:dyDescent="0.3">
      <c r="A12" s="9" t="s">
        <v>80</v>
      </c>
      <c r="B12" s="11"/>
      <c r="C12" s="11"/>
      <c r="D12" s="11"/>
      <c r="E12" s="11"/>
      <c r="F12" s="12"/>
      <c r="H12" s="2" t="s">
        <v>81</v>
      </c>
      <c r="I12" s="22">
        <f t="shared" ref="I12:L12" si="12">I10*I11</f>
        <v>34500</v>
      </c>
      <c r="J12" s="22">
        <f t="shared" si="12"/>
        <v>30500</v>
      </c>
      <c r="K12" s="22">
        <f t="shared" si="12"/>
        <v>20000</v>
      </c>
      <c r="L12" s="22">
        <f t="shared" si="12"/>
        <v>23000</v>
      </c>
      <c r="M12" s="22">
        <f>SUM(I12:L12)</f>
        <v>108000</v>
      </c>
    </row>
    <row r="13" spans="1:13" ht="15.6" x14ac:dyDescent="0.25">
      <c r="A13" s="2"/>
      <c r="B13" s="2" t="s">
        <v>15</v>
      </c>
      <c r="C13" s="2" t="s">
        <v>18</v>
      </c>
      <c r="D13" s="2" t="s">
        <v>19</v>
      </c>
      <c r="E13" s="2" t="s">
        <v>20</v>
      </c>
      <c r="F13" s="2" t="s">
        <v>21</v>
      </c>
      <c r="H13" s="3" t="s">
        <v>87</v>
      </c>
      <c r="I13" s="3" t="s">
        <v>15</v>
      </c>
      <c r="J13" s="3" t="s">
        <v>18</v>
      </c>
      <c r="K13" s="3" t="s">
        <v>19</v>
      </c>
      <c r="L13" s="3" t="s">
        <v>20</v>
      </c>
      <c r="M13" s="3" t="s">
        <v>21</v>
      </c>
    </row>
    <row r="14" spans="1:13" ht="15.6" x14ac:dyDescent="0.25">
      <c r="A14" s="2" t="s">
        <v>26</v>
      </c>
      <c r="B14" s="22">
        <f t="shared" ref="B14:F14" si="13">B4</f>
        <v>20</v>
      </c>
      <c r="C14" s="22">
        <f t="shared" si="13"/>
        <v>40</v>
      </c>
      <c r="D14" s="22">
        <f t="shared" si="13"/>
        <v>30</v>
      </c>
      <c r="E14" s="22">
        <f t="shared" si="13"/>
        <v>10</v>
      </c>
      <c r="F14" s="22">
        <f t="shared" si="13"/>
        <v>100</v>
      </c>
      <c r="H14" s="2" t="s">
        <v>25</v>
      </c>
      <c r="I14" s="22">
        <f t="shared" ref="I14:M14" si="14">B18</f>
        <v>30</v>
      </c>
      <c r="J14" s="22">
        <f t="shared" si="14"/>
        <v>35</v>
      </c>
      <c r="K14" s="22">
        <f t="shared" si="14"/>
        <v>20</v>
      </c>
      <c r="L14" s="22">
        <f t="shared" si="14"/>
        <v>20</v>
      </c>
      <c r="M14" s="22">
        <f t="shared" si="14"/>
        <v>105</v>
      </c>
    </row>
    <row r="15" spans="1:13" ht="15.6" x14ac:dyDescent="0.25">
      <c r="A15" s="2" t="s">
        <v>184</v>
      </c>
      <c r="B15" s="22">
        <f t="shared" ref="B15:D15" si="15">50%*C14</f>
        <v>20</v>
      </c>
      <c r="C15" s="22">
        <f t="shared" si="15"/>
        <v>15</v>
      </c>
      <c r="D15" s="22">
        <f t="shared" si="15"/>
        <v>5</v>
      </c>
      <c r="E15" s="22">
        <v>15</v>
      </c>
      <c r="F15" s="22">
        <f>SUM(B15:E15)</f>
        <v>55</v>
      </c>
      <c r="H15" s="2" t="s">
        <v>98</v>
      </c>
      <c r="I15" s="22">
        <v>40</v>
      </c>
      <c r="J15" s="22">
        <v>40</v>
      </c>
      <c r="K15" s="22">
        <v>40</v>
      </c>
      <c r="L15" s="22">
        <v>40</v>
      </c>
      <c r="M15" s="22"/>
    </row>
    <row r="16" spans="1:13" ht="15.6" x14ac:dyDescent="0.25">
      <c r="A16" s="2" t="s">
        <v>100</v>
      </c>
      <c r="B16" s="22">
        <f t="shared" ref="B16:F16" si="16">B14+B15</f>
        <v>40</v>
      </c>
      <c r="C16" s="22">
        <f t="shared" si="16"/>
        <v>55</v>
      </c>
      <c r="D16" s="22">
        <f t="shared" si="16"/>
        <v>35</v>
      </c>
      <c r="E16" s="22">
        <f t="shared" si="16"/>
        <v>25</v>
      </c>
      <c r="F16" s="22">
        <f t="shared" si="16"/>
        <v>155</v>
      </c>
      <c r="H16" s="2" t="s">
        <v>105</v>
      </c>
      <c r="I16" s="22">
        <f t="shared" ref="I16:L16" si="17">I14*I15</f>
        <v>1200</v>
      </c>
      <c r="J16" s="22">
        <f t="shared" si="17"/>
        <v>1400</v>
      </c>
      <c r="K16" s="22">
        <f t="shared" si="17"/>
        <v>800</v>
      </c>
      <c r="L16" s="22">
        <f t="shared" si="17"/>
        <v>800</v>
      </c>
      <c r="M16" s="22">
        <f t="shared" ref="M16:M20" si="18">SUM(I16:L16)</f>
        <v>4200</v>
      </c>
    </row>
    <row r="17" spans="1:13" ht="15.6" x14ac:dyDescent="0.25">
      <c r="A17" s="2" t="s">
        <v>62</v>
      </c>
      <c r="B17" s="22">
        <v>10</v>
      </c>
      <c r="C17" s="22">
        <f t="shared" ref="C17:E17" si="19">B15</f>
        <v>20</v>
      </c>
      <c r="D17" s="22">
        <f t="shared" si="19"/>
        <v>15</v>
      </c>
      <c r="E17" s="22">
        <f t="shared" si="19"/>
        <v>5</v>
      </c>
      <c r="F17" s="22">
        <f t="shared" ref="F17:F18" si="20">SUM(B17:E17)</f>
        <v>50</v>
      </c>
      <c r="H17" s="2" t="s">
        <v>45</v>
      </c>
      <c r="I17" s="22">
        <f t="shared" ref="I17:K17" si="21">50%*J16</f>
        <v>700</v>
      </c>
      <c r="J17" s="22">
        <f t="shared" si="21"/>
        <v>400</v>
      </c>
      <c r="K17" s="22">
        <f t="shared" si="21"/>
        <v>400</v>
      </c>
      <c r="L17" s="22">
        <f>50%*30*40</f>
        <v>600</v>
      </c>
      <c r="M17" s="22">
        <f t="shared" si="18"/>
        <v>2100</v>
      </c>
    </row>
    <row r="18" spans="1:13" ht="15.6" x14ac:dyDescent="0.25">
      <c r="A18" s="3" t="s">
        <v>118</v>
      </c>
      <c r="B18" s="23">
        <f t="shared" ref="B18:E18" si="22">B16-B17</f>
        <v>30</v>
      </c>
      <c r="C18" s="23">
        <f t="shared" si="22"/>
        <v>35</v>
      </c>
      <c r="D18" s="23">
        <f t="shared" si="22"/>
        <v>20</v>
      </c>
      <c r="E18" s="23">
        <f t="shared" si="22"/>
        <v>20</v>
      </c>
      <c r="F18" s="23">
        <f t="shared" si="20"/>
        <v>105</v>
      </c>
      <c r="H18" s="2" t="s">
        <v>122</v>
      </c>
      <c r="I18" s="22">
        <f t="shared" ref="I18:L18" si="23">I16+I17</f>
        <v>1900</v>
      </c>
      <c r="J18" s="22">
        <f t="shared" si="23"/>
        <v>1800</v>
      </c>
      <c r="K18" s="22">
        <f t="shared" si="23"/>
        <v>1200</v>
      </c>
      <c r="L18" s="22">
        <f t="shared" si="23"/>
        <v>1400</v>
      </c>
      <c r="M18" s="22">
        <f t="shared" si="18"/>
        <v>6300</v>
      </c>
    </row>
    <row r="19" spans="1:13" x14ac:dyDescent="0.25">
      <c r="H19" s="2" t="s">
        <v>62</v>
      </c>
      <c r="I19" s="22">
        <v>400</v>
      </c>
      <c r="J19" s="22">
        <f t="shared" ref="J19:L19" si="24">I17</f>
        <v>700</v>
      </c>
      <c r="K19" s="22">
        <f t="shared" si="24"/>
        <v>400</v>
      </c>
      <c r="L19" s="22">
        <f t="shared" si="24"/>
        <v>400</v>
      </c>
      <c r="M19" s="22">
        <f t="shared" si="18"/>
        <v>1900</v>
      </c>
    </row>
    <row r="20" spans="1:13" x14ac:dyDescent="0.25">
      <c r="H20" s="2" t="s">
        <v>126</v>
      </c>
      <c r="I20" s="22">
        <f t="shared" ref="I20:L20" si="25">I18-I19</f>
        <v>1500</v>
      </c>
      <c r="J20" s="22">
        <f t="shared" si="25"/>
        <v>1100</v>
      </c>
      <c r="K20" s="22">
        <f t="shared" si="25"/>
        <v>800</v>
      </c>
      <c r="L20" s="22">
        <f t="shared" si="25"/>
        <v>1000</v>
      </c>
      <c r="M20" s="22">
        <f t="shared" si="18"/>
        <v>4400</v>
      </c>
    </row>
    <row r="21" spans="1:13" x14ac:dyDescent="0.25">
      <c r="H21" s="2" t="s">
        <v>78</v>
      </c>
      <c r="I21" s="22">
        <v>5</v>
      </c>
      <c r="J21" s="22">
        <v>5</v>
      </c>
      <c r="K21" s="22">
        <v>5</v>
      </c>
      <c r="L21" s="22">
        <v>5</v>
      </c>
      <c r="M21" s="22"/>
    </row>
    <row r="22" spans="1:13" x14ac:dyDescent="0.25">
      <c r="H22" s="2" t="s">
        <v>130</v>
      </c>
      <c r="I22" s="22">
        <f t="shared" ref="I22:L22" si="26">I20*I21</f>
        <v>7500</v>
      </c>
      <c r="J22" s="22">
        <f t="shared" si="26"/>
        <v>5500</v>
      </c>
      <c r="K22" s="22">
        <f t="shared" si="26"/>
        <v>4000</v>
      </c>
      <c r="L22" s="22">
        <f t="shared" si="26"/>
        <v>5000</v>
      </c>
      <c r="M22" s="22">
        <f>SUM(I22:L22)</f>
        <v>22000</v>
      </c>
    </row>
    <row r="23" spans="1:13" x14ac:dyDescent="0.25">
      <c r="H23" s="3"/>
      <c r="I23" s="3" t="s">
        <v>15</v>
      </c>
      <c r="J23" s="3" t="s">
        <v>18</v>
      </c>
      <c r="K23" s="3" t="s">
        <v>19</v>
      </c>
      <c r="L23" s="3" t="s">
        <v>20</v>
      </c>
      <c r="M23" s="3" t="s">
        <v>21</v>
      </c>
    </row>
    <row r="24" spans="1:13" x14ac:dyDescent="0.25">
      <c r="H24" s="2" t="s">
        <v>134</v>
      </c>
      <c r="I24" s="22">
        <f t="shared" ref="I24:M24" si="27">I12+I22</f>
        <v>42000</v>
      </c>
      <c r="J24" s="22">
        <f t="shared" si="27"/>
        <v>36000</v>
      </c>
      <c r="K24" s="22">
        <f t="shared" si="27"/>
        <v>24000</v>
      </c>
      <c r="L24" s="22">
        <f t="shared" si="27"/>
        <v>28000</v>
      </c>
      <c r="M24" s="22">
        <f t="shared" si="27"/>
        <v>130000</v>
      </c>
    </row>
    <row r="25" spans="1:13" x14ac:dyDescent="0.25">
      <c r="H25" s="2" t="s">
        <v>135</v>
      </c>
      <c r="I25" s="20">
        <v>0.75</v>
      </c>
      <c r="J25" s="20">
        <v>0.75</v>
      </c>
      <c r="K25" s="20">
        <v>0.75</v>
      </c>
      <c r="L25" s="20">
        <v>0.75</v>
      </c>
      <c r="M25" s="22"/>
    </row>
    <row r="26" spans="1:13" x14ac:dyDescent="0.25">
      <c r="H26" s="2" t="s">
        <v>136</v>
      </c>
      <c r="I26" s="22">
        <f t="shared" ref="I26:L26" si="28">I24*I25</f>
        <v>31500</v>
      </c>
      <c r="J26" s="22">
        <f t="shared" si="28"/>
        <v>27000</v>
      </c>
      <c r="K26" s="22">
        <f t="shared" si="28"/>
        <v>18000</v>
      </c>
      <c r="L26" s="22">
        <f t="shared" si="28"/>
        <v>21000</v>
      </c>
      <c r="M26" s="22">
        <f t="shared" ref="M26:M28" si="29">SUM(I26:L26)</f>
        <v>97500</v>
      </c>
    </row>
    <row r="27" spans="1:13" ht="15.6" x14ac:dyDescent="0.25">
      <c r="H27" s="2" t="s">
        <v>137</v>
      </c>
      <c r="I27" s="22">
        <v>10000</v>
      </c>
      <c r="J27" s="22">
        <f t="shared" ref="J27:L27" si="30">I24*25%</f>
        <v>10500</v>
      </c>
      <c r="K27" s="22">
        <f t="shared" si="30"/>
        <v>9000</v>
      </c>
      <c r="L27" s="22">
        <f t="shared" si="30"/>
        <v>6000</v>
      </c>
      <c r="M27" s="22">
        <f t="shared" si="29"/>
        <v>35500</v>
      </c>
    </row>
    <row r="28" spans="1:13" ht="15.6" x14ac:dyDescent="0.25">
      <c r="H28" s="2" t="s">
        <v>140</v>
      </c>
      <c r="I28" s="22">
        <f t="shared" ref="I28:L28" si="31">I26+I27</f>
        <v>41500</v>
      </c>
      <c r="J28" s="22">
        <f t="shared" si="31"/>
        <v>37500</v>
      </c>
      <c r="K28" s="22">
        <f t="shared" si="31"/>
        <v>27000</v>
      </c>
      <c r="L28" s="22">
        <f t="shared" si="31"/>
        <v>27000</v>
      </c>
      <c r="M28" s="22">
        <f t="shared" si="29"/>
        <v>133000</v>
      </c>
    </row>
  </sheetData>
  <mergeCells count="3">
    <mergeCell ref="A2:F2"/>
    <mergeCell ref="H2:M2"/>
    <mergeCell ref="A12:F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28"/>
  <sheetViews>
    <sheetView topLeftCell="B3" workbookViewId="0">
      <selection activeCell="K13" sqref="K13"/>
    </sheetView>
  </sheetViews>
  <sheetFormatPr defaultColWidth="12.6640625" defaultRowHeight="15.75" customHeight="1" x14ac:dyDescent="0.3"/>
  <cols>
    <col min="1" max="1" width="25.44140625" style="13" customWidth="1"/>
    <col min="2" max="8" width="12.6640625" style="13"/>
    <col min="9" max="9" width="43" style="13" customWidth="1"/>
    <col min="10" max="16384" width="12.6640625" style="13"/>
  </cols>
  <sheetData>
    <row r="1" spans="1:11" ht="15.75" customHeight="1" x14ac:dyDescent="0.3">
      <c r="A1" s="1" t="s">
        <v>1</v>
      </c>
      <c r="I1" s="1" t="s">
        <v>6</v>
      </c>
    </row>
    <row r="2" spans="1:11" ht="15.75" customHeight="1" x14ac:dyDescent="0.3">
      <c r="A2" s="9" t="s">
        <v>8</v>
      </c>
      <c r="B2" s="11"/>
      <c r="C2" s="11"/>
      <c r="D2" s="11"/>
      <c r="E2" s="11"/>
      <c r="F2" s="12"/>
      <c r="I2" s="9" t="s">
        <v>11</v>
      </c>
      <c r="J2" s="11"/>
      <c r="K2" s="12"/>
    </row>
    <row r="3" spans="1:11" ht="15.6" x14ac:dyDescent="0.3">
      <c r="A3" s="2"/>
      <c r="B3" s="2" t="s">
        <v>15</v>
      </c>
      <c r="C3" s="2" t="s">
        <v>18</v>
      </c>
      <c r="D3" s="2" t="s">
        <v>19</v>
      </c>
      <c r="E3" s="2" t="s">
        <v>20</v>
      </c>
      <c r="F3" s="2" t="s">
        <v>21</v>
      </c>
      <c r="I3" s="2"/>
      <c r="J3" s="2" t="s">
        <v>24</v>
      </c>
      <c r="K3" s="2" t="s">
        <v>21</v>
      </c>
    </row>
    <row r="4" spans="1:11" ht="15.6" x14ac:dyDescent="0.3">
      <c r="A4" s="2" t="s">
        <v>25</v>
      </c>
      <c r="B4" s="22">
        <f>'T123'!B18</f>
        <v>30</v>
      </c>
      <c r="C4" s="22">
        <f>'T123'!C18</f>
        <v>35</v>
      </c>
      <c r="D4" s="22">
        <f>'T123'!D18</f>
        <v>20</v>
      </c>
      <c r="E4" s="22">
        <f>'T123'!E18</f>
        <v>20</v>
      </c>
      <c r="F4" s="22">
        <f>SUM(B4:E4)</f>
        <v>105</v>
      </c>
      <c r="I4" s="2" t="s">
        <v>33</v>
      </c>
      <c r="J4" s="22"/>
      <c r="K4" s="22">
        <f>K5+K6</f>
        <v>1200</v>
      </c>
    </row>
    <row r="5" spans="1:11" ht="15.6" x14ac:dyDescent="0.3">
      <c r="A5" s="2" t="s">
        <v>39</v>
      </c>
      <c r="B5" s="22">
        <v>80</v>
      </c>
      <c r="C5" s="22">
        <v>80</v>
      </c>
      <c r="D5" s="22">
        <v>80</v>
      </c>
      <c r="E5" s="22">
        <v>80</v>
      </c>
      <c r="F5" s="22"/>
      <c r="I5" s="2" t="s">
        <v>40</v>
      </c>
      <c r="J5" s="21">
        <v>10</v>
      </c>
      <c r="K5" s="22">
        <f>10*100</f>
        <v>1000</v>
      </c>
    </row>
    <row r="6" spans="1:11" ht="15.6" x14ac:dyDescent="0.3">
      <c r="A6" s="2" t="s">
        <v>42</v>
      </c>
      <c r="B6" s="22">
        <f t="shared" ref="B6:E6" si="0">B4*B5</f>
        <v>2400</v>
      </c>
      <c r="C6" s="22">
        <f t="shared" si="0"/>
        <v>2800</v>
      </c>
      <c r="D6" s="22">
        <f t="shared" si="0"/>
        <v>1600</v>
      </c>
      <c r="E6" s="22">
        <f t="shared" si="0"/>
        <v>1600</v>
      </c>
      <c r="F6" s="22">
        <f>SUM(B6:E6)</f>
        <v>8400</v>
      </c>
      <c r="I6" s="2" t="s">
        <v>47</v>
      </c>
      <c r="J6" s="21">
        <v>5</v>
      </c>
      <c r="K6" s="22">
        <f>5*40</f>
        <v>200</v>
      </c>
    </row>
    <row r="7" spans="1:11" ht="15.6" x14ac:dyDescent="0.3">
      <c r="A7" s="2" t="s">
        <v>50</v>
      </c>
      <c r="B7" s="22">
        <v>20</v>
      </c>
      <c r="C7" s="22">
        <v>20</v>
      </c>
      <c r="D7" s="22">
        <v>20</v>
      </c>
      <c r="E7" s="22">
        <v>20</v>
      </c>
      <c r="F7" s="22"/>
      <c r="I7" s="2" t="s">
        <v>53</v>
      </c>
      <c r="J7" s="21">
        <v>20</v>
      </c>
      <c r="K7" s="22">
        <f>20*80</f>
        <v>1600</v>
      </c>
    </row>
    <row r="8" spans="1:11" ht="15.6" x14ac:dyDescent="0.3">
      <c r="A8" s="2" t="s">
        <v>54</v>
      </c>
      <c r="B8" s="22">
        <f t="shared" ref="B8:E8" si="1">B6*B7</f>
        <v>48000</v>
      </c>
      <c r="C8" s="22">
        <f t="shared" si="1"/>
        <v>56000</v>
      </c>
      <c r="D8" s="22">
        <f t="shared" si="1"/>
        <v>32000</v>
      </c>
      <c r="E8" s="22">
        <f t="shared" si="1"/>
        <v>32000</v>
      </c>
      <c r="F8" s="22">
        <f>SUM(B8:E8)</f>
        <v>168000</v>
      </c>
      <c r="I8" s="2" t="s">
        <v>64</v>
      </c>
      <c r="J8" s="21">
        <v>7.5</v>
      </c>
      <c r="K8" s="22">
        <f t="shared" ref="K8:K9" si="2">J8*80</f>
        <v>600</v>
      </c>
    </row>
    <row r="9" spans="1:11" ht="15.6" x14ac:dyDescent="0.3">
      <c r="I9" s="2" t="s">
        <v>67</v>
      </c>
      <c r="J9" s="21">
        <f>SUM(J5:J8)</f>
        <v>42.5</v>
      </c>
      <c r="K9" s="22">
        <f t="shared" si="2"/>
        <v>3400</v>
      </c>
    </row>
    <row r="10" spans="1:11" ht="15.75" customHeight="1" x14ac:dyDescent="0.3">
      <c r="A10" s="1" t="s">
        <v>71</v>
      </c>
      <c r="I10" s="2" t="s">
        <v>72</v>
      </c>
      <c r="J10" s="22"/>
      <c r="K10" s="22">
        <f>G24</f>
        <v>168000</v>
      </c>
    </row>
    <row r="11" spans="1:11" ht="15.75" customHeight="1" x14ac:dyDescent="0.3">
      <c r="A11" s="9" t="s">
        <v>74</v>
      </c>
      <c r="B11" s="11"/>
      <c r="C11" s="11"/>
      <c r="D11" s="11"/>
      <c r="E11" s="11"/>
      <c r="F11" s="11"/>
      <c r="G11" s="12"/>
      <c r="I11" s="2" t="s">
        <v>79</v>
      </c>
      <c r="J11" s="22"/>
      <c r="K11" s="22">
        <f>'T123'!F18</f>
        <v>105</v>
      </c>
    </row>
    <row r="12" spans="1:11" ht="15.6" x14ac:dyDescent="0.3">
      <c r="A12" s="3" t="s">
        <v>82</v>
      </c>
      <c r="B12" s="2"/>
      <c r="C12" s="2" t="s">
        <v>15</v>
      </c>
      <c r="D12" s="2" t="s">
        <v>18</v>
      </c>
      <c r="E12" s="2" t="s">
        <v>19</v>
      </c>
      <c r="F12" s="2" t="s">
        <v>20</v>
      </c>
      <c r="G12" s="2" t="s">
        <v>21</v>
      </c>
      <c r="I12" s="2" t="s">
        <v>83</v>
      </c>
      <c r="J12" s="22"/>
      <c r="K12" s="22">
        <f>K10/K11</f>
        <v>1600</v>
      </c>
    </row>
    <row r="13" spans="1:11" ht="15.6" x14ac:dyDescent="0.3">
      <c r="A13" s="2" t="s">
        <v>86</v>
      </c>
      <c r="B13" s="2"/>
      <c r="C13" s="22">
        <f t="shared" ref="C13:G13" si="3">B6</f>
        <v>2400</v>
      </c>
      <c r="D13" s="22">
        <f t="shared" si="3"/>
        <v>2800</v>
      </c>
      <c r="E13" s="22">
        <f t="shared" si="3"/>
        <v>1600</v>
      </c>
      <c r="F13" s="22">
        <f t="shared" si="3"/>
        <v>1600</v>
      </c>
      <c r="G13" s="22">
        <f t="shared" si="3"/>
        <v>8400</v>
      </c>
      <c r="I13" s="2" t="s">
        <v>88</v>
      </c>
      <c r="J13" s="22"/>
      <c r="K13" s="22">
        <f>K9+K12</f>
        <v>5000</v>
      </c>
    </row>
    <row r="14" spans="1:11" ht="15.6" x14ac:dyDescent="0.3">
      <c r="A14" s="2" t="s">
        <v>90</v>
      </c>
      <c r="B14" s="2" t="s">
        <v>24</v>
      </c>
      <c r="C14" s="22"/>
      <c r="D14" s="22"/>
      <c r="E14" s="22"/>
      <c r="F14" s="22"/>
      <c r="G14" s="22"/>
    </row>
    <row r="15" spans="1:11" ht="15.6" x14ac:dyDescent="0.3">
      <c r="A15" s="2" t="s">
        <v>91</v>
      </c>
      <c r="B15" s="2">
        <v>1.5</v>
      </c>
      <c r="C15" s="22">
        <f t="shared" ref="C15:F15" si="4">C13*$B$15</f>
        <v>3600</v>
      </c>
      <c r="D15" s="22">
        <f t="shared" si="4"/>
        <v>4200</v>
      </c>
      <c r="E15" s="22">
        <f t="shared" si="4"/>
        <v>2400</v>
      </c>
      <c r="F15" s="22">
        <f t="shared" si="4"/>
        <v>2400</v>
      </c>
      <c r="G15" s="22">
        <f t="shared" ref="G15:G18" si="5">SUM(C15:F15)</f>
        <v>12600</v>
      </c>
    </row>
    <row r="16" spans="1:11" ht="15.6" x14ac:dyDescent="0.3">
      <c r="A16" s="2" t="s">
        <v>95</v>
      </c>
      <c r="B16" s="2">
        <v>5</v>
      </c>
      <c r="C16" s="22">
        <f t="shared" ref="C16:F16" si="6">C13*$B$16</f>
        <v>12000</v>
      </c>
      <c r="D16" s="22">
        <f t="shared" si="6"/>
        <v>14000</v>
      </c>
      <c r="E16" s="22">
        <f t="shared" si="6"/>
        <v>8000</v>
      </c>
      <c r="F16" s="22">
        <f t="shared" si="6"/>
        <v>8000</v>
      </c>
      <c r="G16" s="22">
        <f t="shared" si="5"/>
        <v>42000</v>
      </c>
    </row>
    <row r="17" spans="1:7" ht="15.6" x14ac:dyDescent="0.3">
      <c r="A17" s="2" t="s">
        <v>99</v>
      </c>
      <c r="B17" s="2">
        <v>1</v>
      </c>
      <c r="C17" s="22">
        <f t="shared" ref="C17:F17" si="7">C13*$B$17</f>
        <v>2400</v>
      </c>
      <c r="D17" s="22">
        <f t="shared" si="7"/>
        <v>2800</v>
      </c>
      <c r="E17" s="22">
        <f t="shared" si="7"/>
        <v>1600</v>
      </c>
      <c r="F17" s="22">
        <f t="shared" si="7"/>
        <v>1600</v>
      </c>
      <c r="G17" s="22">
        <f t="shared" si="5"/>
        <v>8400</v>
      </c>
    </row>
    <row r="18" spans="1:7" ht="15.6" x14ac:dyDescent="0.3">
      <c r="A18" s="2" t="s">
        <v>104</v>
      </c>
      <c r="B18" s="2"/>
      <c r="C18" s="22">
        <f t="shared" ref="C18:F18" si="8">SUM(C15:C17)</f>
        <v>18000</v>
      </c>
      <c r="D18" s="22">
        <f t="shared" si="8"/>
        <v>21000</v>
      </c>
      <c r="E18" s="22">
        <f t="shared" si="8"/>
        <v>12000</v>
      </c>
      <c r="F18" s="22">
        <f t="shared" si="8"/>
        <v>12000</v>
      </c>
      <c r="G18" s="22">
        <f t="shared" si="5"/>
        <v>63000</v>
      </c>
    </row>
    <row r="19" spans="1:7" ht="15.6" x14ac:dyDescent="0.3">
      <c r="A19" s="3" t="s">
        <v>107</v>
      </c>
      <c r="B19" s="2"/>
      <c r="C19" s="2" t="s">
        <v>15</v>
      </c>
      <c r="D19" s="2" t="s">
        <v>18</v>
      </c>
      <c r="E19" s="2" t="s">
        <v>19</v>
      </c>
      <c r="F19" s="2" t="s">
        <v>20</v>
      </c>
      <c r="G19" s="2" t="s">
        <v>21</v>
      </c>
    </row>
    <row r="20" spans="1:7" ht="15.6" x14ac:dyDescent="0.3">
      <c r="A20" s="2" t="s">
        <v>109</v>
      </c>
      <c r="B20" s="22">
        <v>2000</v>
      </c>
      <c r="C20" s="22">
        <v>2000</v>
      </c>
      <c r="D20" s="22">
        <v>2000</v>
      </c>
      <c r="E20" s="22">
        <v>2000</v>
      </c>
      <c r="F20" s="22">
        <v>2000</v>
      </c>
      <c r="G20" s="22">
        <f t="shared" ref="G20:G24" si="9">SUM(C20:F20)</f>
        <v>8000</v>
      </c>
    </row>
    <row r="21" spans="1:7" ht="15.6" x14ac:dyDescent="0.3">
      <c r="A21" s="2" t="s">
        <v>111</v>
      </c>
      <c r="B21" s="22">
        <v>1000</v>
      </c>
      <c r="C21" s="22">
        <v>1000</v>
      </c>
      <c r="D21" s="22">
        <v>1000</v>
      </c>
      <c r="E21" s="22">
        <v>1000</v>
      </c>
      <c r="F21" s="22">
        <v>1000</v>
      </c>
      <c r="G21" s="22">
        <f t="shared" si="9"/>
        <v>4000</v>
      </c>
    </row>
    <row r="22" spans="1:7" ht="15.6" x14ac:dyDescent="0.3">
      <c r="A22" s="2" t="s">
        <v>112</v>
      </c>
      <c r="B22" s="22">
        <v>15000</v>
      </c>
      <c r="C22" s="22">
        <v>15000</v>
      </c>
      <c r="D22" s="22">
        <v>15000</v>
      </c>
      <c r="E22" s="22">
        <v>15000</v>
      </c>
      <c r="F22" s="22">
        <v>15000</v>
      </c>
      <c r="G22" s="22">
        <f t="shared" si="9"/>
        <v>60000</v>
      </c>
    </row>
    <row r="23" spans="1:7" ht="15.6" x14ac:dyDescent="0.3">
      <c r="A23" s="2" t="s">
        <v>113</v>
      </c>
      <c r="B23" s="22">
        <v>24000</v>
      </c>
      <c r="C23" s="22">
        <v>24000</v>
      </c>
      <c r="D23" s="22">
        <v>24000</v>
      </c>
      <c r="E23" s="22">
        <v>24000</v>
      </c>
      <c r="F23" s="22">
        <v>24000</v>
      </c>
      <c r="G23" s="22">
        <f t="shared" si="9"/>
        <v>96000</v>
      </c>
    </row>
    <row r="24" spans="1:7" ht="15.6" x14ac:dyDescent="0.3">
      <c r="A24" s="2" t="s">
        <v>116</v>
      </c>
      <c r="B24" s="22"/>
      <c r="C24" s="22">
        <f t="shared" ref="C24:F24" si="10">SUM(C20:C23)</f>
        <v>42000</v>
      </c>
      <c r="D24" s="22">
        <f t="shared" si="10"/>
        <v>42000</v>
      </c>
      <c r="E24" s="22">
        <f t="shared" si="10"/>
        <v>42000</v>
      </c>
      <c r="F24" s="22">
        <f t="shared" si="10"/>
        <v>42000</v>
      </c>
      <c r="G24" s="22">
        <f t="shared" si="9"/>
        <v>168000</v>
      </c>
    </row>
    <row r="25" spans="1:7" ht="15.6" x14ac:dyDescent="0.3">
      <c r="A25" s="3" t="s">
        <v>21</v>
      </c>
      <c r="B25" s="2"/>
      <c r="C25" s="2" t="s">
        <v>15</v>
      </c>
      <c r="D25" s="2" t="s">
        <v>18</v>
      </c>
      <c r="E25" s="2" t="s">
        <v>19</v>
      </c>
      <c r="F25" s="2" t="s">
        <v>20</v>
      </c>
      <c r="G25" s="2" t="s">
        <v>21</v>
      </c>
    </row>
    <row r="26" spans="1:7" ht="15.6" x14ac:dyDescent="0.3">
      <c r="A26" s="2" t="s">
        <v>120</v>
      </c>
      <c r="B26" s="2"/>
      <c r="C26" s="22">
        <f t="shared" ref="C26:F26" si="11">C18+C24</f>
        <v>60000</v>
      </c>
      <c r="D26" s="22">
        <f t="shared" si="11"/>
        <v>63000</v>
      </c>
      <c r="E26" s="22">
        <f t="shared" si="11"/>
        <v>54000</v>
      </c>
      <c r="F26" s="22">
        <f t="shared" si="11"/>
        <v>54000</v>
      </c>
      <c r="G26" s="22">
        <f t="shared" ref="G26:G27" si="12">SUM(B26:F26)</f>
        <v>231000</v>
      </c>
    </row>
    <row r="27" spans="1:7" ht="15.6" x14ac:dyDescent="0.3">
      <c r="A27" s="2" t="s">
        <v>115</v>
      </c>
      <c r="B27" s="2"/>
      <c r="C27" s="22">
        <f t="shared" ref="C27:F27" si="13">C22</f>
        <v>15000</v>
      </c>
      <c r="D27" s="22">
        <f t="shared" si="13"/>
        <v>15000</v>
      </c>
      <c r="E27" s="22">
        <f t="shared" si="13"/>
        <v>15000</v>
      </c>
      <c r="F27" s="22">
        <f t="shared" si="13"/>
        <v>15000</v>
      </c>
      <c r="G27" s="22">
        <f t="shared" si="12"/>
        <v>60000</v>
      </c>
    </row>
    <row r="28" spans="1:7" ht="15.6" x14ac:dyDescent="0.3">
      <c r="A28" s="2" t="s">
        <v>129</v>
      </c>
      <c r="B28" s="2"/>
      <c r="C28" s="22">
        <f t="shared" ref="C28:G28" si="14">C26-C27</f>
        <v>45000</v>
      </c>
      <c r="D28" s="22">
        <f t="shared" si="14"/>
        <v>48000</v>
      </c>
      <c r="E28" s="22">
        <f t="shared" si="14"/>
        <v>39000</v>
      </c>
      <c r="F28" s="22">
        <f t="shared" si="14"/>
        <v>39000</v>
      </c>
      <c r="G28" s="22">
        <f t="shared" si="14"/>
        <v>171000</v>
      </c>
    </row>
  </sheetData>
  <mergeCells count="3">
    <mergeCell ref="A2:F2"/>
    <mergeCell ref="I2:K2"/>
    <mergeCell ref="A11:G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N26"/>
  <sheetViews>
    <sheetView topLeftCell="C1" workbookViewId="0">
      <selection activeCell="G18" sqref="G18"/>
    </sheetView>
  </sheetViews>
  <sheetFormatPr defaultColWidth="12.6640625" defaultRowHeight="15.75" customHeight="1" x14ac:dyDescent="0.3"/>
  <cols>
    <col min="1" max="1" width="29" style="13" customWidth="1"/>
    <col min="2" max="8" width="12.6640625" style="13"/>
    <col min="9" max="9" width="32.44140625" style="13" customWidth="1"/>
    <col min="10" max="16384" width="12.6640625" style="13"/>
  </cols>
  <sheetData>
    <row r="1" spans="1:14" ht="15.75" customHeight="1" x14ac:dyDescent="0.3">
      <c r="A1" s="1" t="s">
        <v>2</v>
      </c>
      <c r="I1" s="1" t="s">
        <v>5</v>
      </c>
    </row>
    <row r="2" spans="1:14" ht="15.75" customHeight="1" x14ac:dyDescent="0.3">
      <c r="A2" s="9" t="s">
        <v>7</v>
      </c>
      <c r="B2" s="11"/>
      <c r="C2" s="11"/>
      <c r="D2" s="11"/>
      <c r="E2" s="11"/>
      <c r="F2" s="11"/>
      <c r="G2" s="12"/>
      <c r="I2" s="9" t="s">
        <v>13</v>
      </c>
      <c r="J2" s="11"/>
      <c r="K2" s="11"/>
      <c r="L2" s="11"/>
      <c r="M2" s="11"/>
      <c r="N2" s="12"/>
    </row>
    <row r="3" spans="1:14" ht="15.6" x14ac:dyDescent="0.3">
      <c r="A3" s="3" t="s">
        <v>17</v>
      </c>
      <c r="B3" s="2"/>
      <c r="C3" s="2" t="s">
        <v>15</v>
      </c>
      <c r="D3" s="2" t="s">
        <v>18</v>
      </c>
      <c r="E3" s="2" t="s">
        <v>19</v>
      </c>
      <c r="F3" s="2" t="s">
        <v>20</v>
      </c>
      <c r="G3" s="2" t="s">
        <v>21</v>
      </c>
      <c r="I3" s="2"/>
      <c r="J3" s="2" t="s">
        <v>15</v>
      </c>
      <c r="K3" s="2" t="s">
        <v>18</v>
      </c>
      <c r="L3" s="2" t="s">
        <v>19</v>
      </c>
      <c r="M3" s="2" t="s">
        <v>20</v>
      </c>
      <c r="N3" s="2" t="s">
        <v>21</v>
      </c>
    </row>
    <row r="4" spans="1:14" ht="15.6" x14ac:dyDescent="0.3">
      <c r="A4" s="2" t="s">
        <v>26</v>
      </c>
      <c r="B4" s="22"/>
      <c r="C4" s="22">
        <f>'T123'!B4</f>
        <v>20</v>
      </c>
      <c r="D4" s="22">
        <f>'T123'!C4</f>
        <v>40</v>
      </c>
      <c r="E4" s="22">
        <f>'T123'!D4</f>
        <v>30</v>
      </c>
      <c r="F4" s="22">
        <f>'T123'!E4</f>
        <v>10</v>
      </c>
      <c r="G4" s="22">
        <f>'T123'!F4</f>
        <v>100</v>
      </c>
      <c r="I4" s="2" t="s">
        <v>35</v>
      </c>
      <c r="J4" s="22"/>
      <c r="K4" s="22"/>
      <c r="L4" s="22"/>
      <c r="M4" s="22"/>
      <c r="N4" s="22"/>
    </row>
    <row r="5" spans="1:14" ht="15.6" x14ac:dyDescent="0.3">
      <c r="A5" s="2" t="s">
        <v>36</v>
      </c>
      <c r="B5" s="22" t="s">
        <v>24</v>
      </c>
      <c r="C5" s="22"/>
      <c r="D5" s="22"/>
      <c r="E5" s="22"/>
      <c r="F5" s="22"/>
      <c r="G5" s="22"/>
      <c r="I5" s="2" t="s">
        <v>38</v>
      </c>
      <c r="J5" s="22">
        <f>'T123'!B9</f>
        <v>220000</v>
      </c>
      <c r="K5" s="22">
        <f>'T123'!C9</f>
        <v>360000</v>
      </c>
      <c r="L5" s="22">
        <f>'T123'!D9</f>
        <v>320000</v>
      </c>
      <c r="M5" s="22">
        <f>'T123'!E9</f>
        <v>140000</v>
      </c>
      <c r="N5" s="22">
        <f>'T123'!F9</f>
        <v>1040000</v>
      </c>
    </row>
    <row r="6" spans="1:14" ht="15.6" x14ac:dyDescent="0.3">
      <c r="A6" s="2" t="s">
        <v>44</v>
      </c>
      <c r="B6" s="22">
        <f>50000/100</f>
        <v>500</v>
      </c>
      <c r="C6" s="22">
        <f>C4*B6</f>
        <v>10000</v>
      </c>
      <c r="D6" s="22">
        <f>D4*B6</f>
        <v>20000</v>
      </c>
      <c r="E6" s="22">
        <f>E4*B6</f>
        <v>15000</v>
      </c>
      <c r="F6" s="22">
        <f>F4*B6</f>
        <v>5000</v>
      </c>
      <c r="G6" s="22">
        <f t="shared" ref="G6:G8" si="0">SUM(C6:F6)</f>
        <v>50000</v>
      </c>
      <c r="I6" s="2" t="s">
        <v>56</v>
      </c>
      <c r="J6" s="22"/>
      <c r="K6" s="22"/>
      <c r="L6" s="22"/>
      <c r="M6" s="22"/>
      <c r="N6" s="22"/>
    </row>
    <row r="7" spans="1:14" ht="15.6" x14ac:dyDescent="0.3">
      <c r="A7" s="2" t="s">
        <v>57</v>
      </c>
      <c r="B7" s="22">
        <f>10000*15%</f>
        <v>1500</v>
      </c>
      <c r="C7" s="22">
        <f>C4*B7</f>
        <v>30000</v>
      </c>
      <c r="D7" s="22">
        <f>D4*B7</f>
        <v>60000</v>
      </c>
      <c r="E7" s="22">
        <f>E4*B7</f>
        <v>45000</v>
      </c>
      <c r="F7" s="22">
        <f>F4*B7</f>
        <v>15000</v>
      </c>
      <c r="G7" s="22">
        <f t="shared" si="0"/>
        <v>150000</v>
      </c>
      <c r="I7" s="2" t="s">
        <v>63</v>
      </c>
      <c r="J7" s="22">
        <f>'T123'!I28</f>
        <v>41500</v>
      </c>
      <c r="K7" s="22">
        <f>'T123'!J28</f>
        <v>37500</v>
      </c>
      <c r="L7" s="22">
        <f>'T123'!K28</f>
        <v>27000</v>
      </c>
      <c r="M7" s="22">
        <f>'T123'!L28</f>
        <v>27000</v>
      </c>
      <c r="N7" s="22">
        <f>'T123'!M28</f>
        <v>133000</v>
      </c>
    </row>
    <row r="8" spans="1:14" ht="15.6" x14ac:dyDescent="0.3">
      <c r="A8" s="2" t="s">
        <v>70</v>
      </c>
      <c r="B8" s="22"/>
      <c r="C8" s="22">
        <f t="shared" ref="C8:F8" si="1">C6+C7</f>
        <v>40000</v>
      </c>
      <c r="D8" s="22">
        <f t="shared" si="1"/>
        <v>80000</v>
      </c>
      <c r="E8" s="22">
        <f t="shared" si="1"/>
        <v>60000</v>
      </c>
      <c r="F8" s="22">
        <f t="shared" si="1"/>
        <v>20000</v>
      </c>
      <c r="G8" s="22">
        <f t="shared" si="0"/>
        <v>200000</v>
      </c>
      <c r="I8" s="2" t="s">
        <v>76</v>
      </c>
      <c r="J8" s="22">
        <f>'T456'!B8</f>
        <v>48000</v>
      </c>
      <c r="K8" s="22">
        <f>'T456'!C8</f>
        <v>56000</v>
      </c>
      <c r="L8" s="22">
        <f>'T456'!D8</f>
        <v>32000</v>
      </c>
      <c r="M8" s="22">
        <f>'T456'!E8</f>
        <v>32000</v>
      </c>
      <c r="N8" s="22">
        <f>'T456'!F8</f>
        <v>168000</v>
      </c>
    </row>
    <row r="9" spans="1:14" ht="15.6" x14ac:dyDescent="0.3">
      <c r="A9" s="3" t="s">
        <v>84</v>
      </c>
      <c r="B9" s="2" t="s">
        <v>24</v>
      </c>
      <c r="C9" s="2" t="s">
        <v>15</v>
      </c>
      <c r="D9" s="2" t="s">
        <v>18</v>
      </c>
      <c r="E9" s="2" t="s">
        <v>19</v>
      </c>
      <c r="F9" s="2" t="s">
        <v>20</v>
      </c>
      <c r="G9" s="2" t="s">
        <v>21</v>
      </c>
      <c r="I9" s="2" t="s">
        <v>85</v>
      </c>
      <c r="J9" s="22">
        <f>'T456'!C28</f>
        <v>45000</v>
      </c>
      <c r="K9" s="22">
        <f>'T456'!D28</f>
        <v>48000</v>
      </c>
      <c r="L9" s="22">
        <f>'T456'!E28</f>
        <v>39000</v>
      </c>
      <c r="M9" s="22">
        <f>'T456'!F28</f>
        <v>39000</v>
      </c>
      <c r="N9" s="22">
        <f>'T456'!G28</f>
        <v>171000</v>
      </c>
    </row>
    <row r="10" spans="1:14" ht="15.6" x14ac:dyDescent="0.3">
      <c r="A10" s="2" t="s">
        <v>89</v>
      </c>
      <c r="B10" s="22">
        <v>34000</v>
      </c>
      <c r="C10" s="22">
        <v>34000</v>
      </c>
      <c r="D10" s="22">
        <v>34000</v>
      </c>
      <c r="E10" s="22">
        <v>34000</v>
      </c>
      <c r="F10" s="22">
        <v>34000</v>
      </c>
      <c r="G10" s="22">
        <f t="shared" ref="G10:G13" si="2">SUM(C10:F10)</f>
        <v>136000</v>
      </c>
      <c r="I10" s="2" t="s">
        <v>92</v>
      </c>
      <c r="J10" s="22">
        <f t="shared" ref="J10:N10" si="3">C18</f>
        <v>86500</v>
      </c>
      <c r="K10" s="22">
        <f t="shared" si="3"/>
        <v>126500</v>
      </c>
      <c r="L10" s="22">
        <f t="shared" si="3"/>
        <v>106500</v>
      </c>
      <c r="M10" s="22">
        <f t="shared" si="3"/>
        <v>66500</v>
      </c>
      <c r="N10" s="22">
        <f t="shared" si="3"/>
        <v>386000</v>
      </c>
    </row>
    <row r="11" spans="1:14" ht="15.6" x14ac:dyDescent="0.3">
      <c r="A11" s="2" t="s">
        <v>93</v>
      </c>
      <c r="B11" s="22">
        <v>5000</v>
      </c>
      <c r="C11" s="22">
        <v>5000</v>
      </c>
      <c r="D11" s="22">
        <v>5000</v>
      </c>
      <c r="E11" s="22">
        <v>5000</v>
      </c>
      <c r="F11" s="22">
        <v>5000</v>
      </c>
      <c r="G11" s="22">
        <f t="shared" si="2"/>
        <v>20000</v>
      </c>
      <c r="I11" s="2" t="s">
        <v>94</v>
      </c>
      <c r="J11" s="22">
        <v>96000</v>
      </c>
      <c r="K11" s="22"/>
      <c r="L11" s="22"/>
      <c r="M11" s="22"/>
      <c r="N11" s="22">
        <f t="shared" ref="N11:N15" si="4">SUM(J11:M11)</f>
        <v>96000</v>
      </c>
    </row>
    <row r="12" spans="1:14" ht="15.6" x14ac:dyDescent="0.3">
      <c r="A12" s="2" t="s">
        <v>96</v>
      </c>
      <c r="B12" s="22">
        <v>10000</v>
      </c>
      <c r="C12" s="22">
        <v>10000</v>
      </c>
      <c r="D12" s="22">
        <v>10000</v>
      </c>
      <c r="E12" s="22">
        <v>10000</v>
      </c>
      <c r="F12" s="22">
        <v>10000</v>
      </c>
      <c r="G12" s="22">
        <f t="shared" si="2"/>
        <v>40000</v>
      </c>
      <c r="I12" s="2" t="s">
        <v>97</v>
      </c>
      <c r="J12" s="22"/>
      <c r="K12" s="22">
        <f>60000*2.5%</f>
        <v>1500</v>
      </c>
      <c r="L12" s="22"/>
      <c r="M12" s="22"/>
      <c r="N12" s="22">
        <f t="shared" si="4"/>
        <v>1500</v>
      </c>
    </row>
    <row r="13" spans="1:14" ht="15.6" x14ac:dyDescent="0.3">
      <c r="A13" s="2" t="s">
        <v>101</v>
      </c>
      <c r="B13" s="22">
        <v>2500</v>
      </c>
      <c r="C13" s="22">
        <v>2500</v>
      </c>
      <c r="D13" s="22">
        <v>2500</v>
      </c>
      <c r="E13" s="22">
        <v>2500</v>
      </c>
      <c r="F13" s="22">
        <v>2500</v>
      </c>
      <c r="G13" s="22">
        <f t="shared" si="2"/>
        <v>10000</v>
      </c>
      <c r="I13" s="2" t="s">
        <v>102</v>
      </c>
      <c r="J13" s="22"/>
      <c r="K13" s="22"/>
      <c r="L13" s="22">
        <v>30000</v>
      </c>
      <c r="M13" s="22"/>
      <c r="N13" s="22">
        <f t="shared" si="4"/>
        <v>30000</v>
      </c>
    </row>
    <row r="14" spans="1:14" ht="15.6" x14ac:dyDescent="0.3">
      <c r="A14" s="2" t="s">
        <v>103</v>
      </c>
      <c r="B14" s="22"/>
      <c r="C14" s="22">
        <f t="shared" ref="C14:G14" si="5">SUM(C10:C13)</f>
        <v>51500</v>
      </c>
      <c r="D14" s="22">
        <f t="shared" si="5"/>
        <v>51500</v>
      </c>
      <c r="E14" s="22">
        <f t="shared" si="5"/>
        <v>51500</v>
      </c>
      <c r="F14" s="22">
        <f t="shared" si="5"/>
        <v>51500</v>
      </c>
      <c r="G14" s="22">
        <f t="shared" si="5"/>
        <v>206000</v>
      </c>
      <c r="I14" s="2" t="s">
        <v>106</v>
      </c>
      <c r="J14" s="22"/>
      <c r="K14" s="22"/>
      <c r="L14" s="22"/>
      <c r="M14" s="22">
        <v>100000</v>
      </c>
      <c r="N14" s="22">
        <f t="shared" si="4"/>
        <v>100000</v>
      </c>
    </row>
    <row r="15" spans="1:14" ht="15.6" x14ac:dyDescent="0.3">
      <c r="A15" s="3" t="s">
        <v>21</v>
      </c>
      <c r="B15" s="2"/>
      <c r="C15" s="2" t="s">
        <v>15</v>
      </c>
      <c r="D15" s="2" t="s">
        <v>18</v>
      </c>
      <c r="E15" s="2" t="s">
        <v>19</v>
      </c>
      <c r="F15" s="2" t="s">
        <v>20</v>
      </c>
      <c r="G15" s="2" t="s">
        <v>21</v>
      </c>
      <c r="I15" s="2" t="s">
        <v>108</v>
      </c>
      <c r="J15" s="22">
        <f t="shared" ref="J15:M15" si="6">SUM(J7:J14)</f>
        <v>317000</v>
      </c>
      <c r="K15" s="22">
        <f t="shared" si="6"/>
        <v>269500</v>
      </c>
      <c r="L15" s="22">
        <f t="shared" si="6"/>
        <v>234500</v>
      </c>
      <c r="M15" s="22">
        <f t="shared" si="6"/>
        <v>264500</v>
      </c>
      <c r="N15" s="22">
        <f t="shared" si="4"/>
        <v>1085500</v>
      </c>
    </row>
    <row r="16" spans="1:14" ht="15.6" x14ac:dyDescent="0.3">
      <c r="A16" s="2" t="s">
        <v>110</v>
      </c>
      <c r="B16" s="2"/>
      <c r="C16" s="22">
        <f t="shared" ref="C16:G16" si="7">C8+C14</f>
        <v>91500</v>
      </c>
      <c r="D16" s="22">
        <f t="shared" si="7"/>
        <v>131500</v>
      </c>
      <c r="E16" s="22">
        <f t="shared" si="7"/>
        <v>111500</v>
      </c>
      <c r="F16" s="22">
        <f t="shared" si="7"/>
        <v>71500</v>
      </c>
      <c r="G16" s="22">
        <f t="shared" si="7"/>
        <v>406000</v>
      </c>
      <c r="I16" s="2" t="s">
        <v>114</v>
      </c>
      <c r="J16" s="22"/>
      <c r="K16" s="22"/>
      <c r="L16" s="22"/>
      <c r="M16" s="22"/>
      <c r="N16" s="22"/>
    </row>
    <row r="17" spans="1:14" ht="15.6" x14ac:dyDescent="0.3">
      <c r="A17" s="2" t="s">
        <v>115</v>
      </c>
      <c r="B17" s="2"/>
      <c r="C17" s="22">
        <f t="shared" ref="C17:G17" si="8">C11</f>
        <v>5000</v>
      </c>
      <c r="D17" s="22">
        <f t="shared" si="8"/>
        <v>5000</v>
      </c>
      <c r="E17" s="22">
        <f t="shared" si="8"/>
        <v>5000</v>
      </c>
      <c r="F17" s="22">
        <f t="shared" si="8"/>
        <v>5000</v>
      </c>
      <c r="G17" s="22">
        <f t="shared" si="8"/>
        <v>20000</v>
      </c>
      <c r="I17" s="2" t="s">
        <v>117</v>
      </c>
      <c r="J17" s="22">
        <v>137000</v>
      </c>
      <c r="K17" s="22">
        <v>100000</v>
      </c>
      <c r="L17" s="22">
        <f>K20-60000</f>
        <v>130500</v>
      </c>
      <c r="M17" s="22">
        <f>L20</f>
        <v>216000</v>
      </c>
      <c r="N17" s="22"/>
    </row>
    <row r="18" spans="1:14" ht="15.6" x14ac:dyDescent="0.3">
      <c r="A18" s="2" t="s">
        <v>119</v>
      </c>
      <c r="B18" s="2"/>
      <c r="C18" s="22">
        <f t="shared" ref="C18:G18" si="9">C16-C17</f>
        <v>86500</v>
      </c>
      <c r="D18" s="22">
        <f t="shared" si="9"/>
        <v>126500</v>
      </c>
      <c r="E18" s="22">
        <f t="shared" si="9"/>
        <v>106500</v>
      </c>
      <c r="F18" s="22">
        <f t="shared" si="9"/>
        <v>66500</v>
      </c>
      <c r="G18" s="22">
        <f t="shared" si="9"/>
        <v>386000</v>
      </c>
      <c r="I18" s="2" t="s">
        <v>121</v>
      </c>
      <c r="J18" s="22">
        <f t="shared" ref="J18:N18" si="10">J5</f>
        <v>220000</v>
      </c>
      <c r="K18" s="22">
        <f t="shared" si="10"/>
        <v>360000</v>
      </c>
      <c r="L18" s="22">
        <f t="shared" si="10"/>
        <v>320000</v>
      </c>
      <c r="M18" s="22">
        <f t="shared" si="10"/>
        <v>140000</v>
      </c>
      <c r="N18" s="22">
        <f t="shared" si="10"/>
        <v>1040000</v>
      </c>
    </row>
    <row r="19" spans="1:14" ht="15.6" x14ac:dyDescent="0.3">
      <c r="I19" s="2" t="s">
        <v>123</v>
      </c>
      <c r="J19" s="22">
        <f t="shared" ref="J19:N19" si="11">-J15</f>
        <v>-317000</v>
      </c>
      <c r="K19" s="22">
        <f t="shared" si="11"/>
        <v>-269500</v>
      </c>
      <c r="L19" s="22">
        <f t="shared" si="11"/>
        <v>-234500</v>
      </c>
      <c r="M19" s="22">
        <f t="shared" si="11"/>
        <v>-264500</v>
      </c>
      <c r="N19" s="22">
        <f t="shared" si="11"/>
        <v>-1085500</v>
      </c>
    </row>
    <row r="20" spans="1:14" ht="15.6" x14ac:dyDescent="0.3">
      <c r="I20" s="2" t="s">
        <v>124</v>
      </c>
      <c r="J20" s="22">
        <v>40000</v>
      </c>
      <c r="K20" s="22">
        <f t="shared" ref="K20:M20" si="12">SUM(K17:K19)</f>
        <v>190500</v>
      </c>
      <c r="L20" s="22">
        <f t="shared" si="12"/>
        <v>216000</v>
      </c>
      <c r="M20" s="22">
        <f t="shared" si="12"/>
        <v>91500</v>
      </c>
      <c r="N20" s="22"/>
    </row>
    <row r="21" spans="1:14" ht="15.6" x14ac:dyDescent="0.3">
      <c r="I21" s="2" t="s">
        <v>125</v>
      </c>
      <c r="J21" s="22">
        <v>100000</v>
      </c>
      <c r="K21" s="22">
        <v>100000</v>
      </c>
      <c r="L21" s="22">
        <v>100000</v>
      </c>
      <c r="M21" s="22">
        <v>100000</v>
      </c>
      <c r="N21" s="22">
        <f>SUM(J21:M21)</f>
        <v>400000</v>
      </c>
    </row>
    <row r="22" spans="1:14" ht="15.6" x14ac:dyDescent="0.3">
      <c r="I22" s="2" t="s">
        <v>127</v>
      </c>
      <c r="J22" s="22">
        <f t="shared" ref="J22:M22" si="13">J20-J21</f>
        <v>-60000</v>
      </c>
      <c r="K22" s="22">
        <f t="shared" si="13"/>
        <v>90500</v>
      </c>
      <c r="L22" s="22">
        <f t="shared" si="13"/>
        <v>116000</v>
      </c>
      <c r="M22" s="22">
        <f t="shared" si="13"/>
        <v>-8500</v>
      </c>
      <c r="N22" s="22"/>
    </row>
    <row r="23" spans="1:14" ht="15.6" x14ac:dyDescent="0.3">
      <c r="I23" s="2" t="s">
        <v>128</v>
      </c>
      <c r="J23" s="22">
        <f>-J22</f>
        <v>60000</v>
      </c>
      <c r="K23" s="22"/>
      <c r="L23" s="22"/>
      <c r="M23" s="22"/>
      <c r="N23" s="22"/>
    </row>
    <row r="24" spans="1:14" ht="15.6" x14ac:dyDescent="0.3">
      <c r="I24" s="2" t="s">
        <v>131</v>
      </c>
      <c r="J24" s="22"/>
      <c r="K24" s="22">
        <f>J23</f>
        <v>60000</v>
      </c>
      <c r="L24" s="22"/>
      <c r="M24" s="22"/>
      <c r="N24" s="22"/>
    </row>
    <row r="25" spans="1:14" ht="15.6" x14ac:dyDescent="0.3">
      <c r="I25" s="2" t="s">
        <v>132</v>
      </c>
      <c r="J25" s="22">
        <f>J23</f>
        <v>60000</v>
      </c>
      <c r="K25" s="22">
        <f>-K24</f>
        <v>-60000</v>
      </c>
      <c r="L25" s="22"/>
      <c r="M25" s="22">
        <f>8500</f>
        <v>8500</v>
      </c>
      <c r="N25" s="22"/>
    </row>
    <row r="26" spans="1:14" ht="15.6" x14ac:dyDescent="0.3">
      <c r="I26" s="2" t="s">
        <v>133</v>
      </c>
      <c r="J26" s="22">
        <f t="shared" ref="J26:L26" si="14">K17</f>
        <v>100000</v>
      </c>
      <c r="K26" s="22">
        <f t="shared" si="14"/>
        <v>130500</v>
      </c>
      <c r="L26" s="22">
        <f t="shared" si="14"/>
        <v>216000</v>
      </c>
      <c r="M26" s="22">
        <f>100000</f>
        <v>100000</v>
      </c>
      <c r="N26" s="22"/>
    </row>
  </sheetData>
  <mergeCells count="2">
    <mergeCell ref="A2:G2"/>
    <mergeCell ref="I2:N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12"/>
  <sheetViews>
    <sheetView workbookViewId="0">
      <selection activeCell="E9" sqref="E9"/>
    </sheetView>
  </sheetViews>
  <sheetFormatPr defaultColWidth="12.6640625" defaultRowHeight="15.75" customHeight="1" x14ac:dyDescent="0.25"/>
  <cols>
    <col min="1" max="1" width="50.109375" customWidth="1"/>
    <col min="2" max="2" width="19" customWidth="1"/>
    <col min="4" max="4" width="47.44140625" customWidth="1"/>
    <col min="5" max="5" width="19.109375" customWidth="1"/>
  </cols>
  <sheetData>
    <row r="1" spans="1:5" ht="15.75" customHeight="1" x14ac:dyDescent="0.3">
      <c r="A1" s="1" t="s">
        <v>9</v>
      </c>
      <c r="D1" s="1" t="s">
        <v>10</v>
      </c>
    </row>
    <row r="2" spans="1:5" ht="47.4" customHeight="1" x14ac:dyDescent="0.25">
      <c r="A2" s="14" t="s">
        <v>14</v>
      </c>
      <c r="B2" s="15"/>
      <c r="D2" s="14" t="s">
        <v>16</v>
      </c>
      <c r="E2" s="15"/>
    </row>
    <row r="3" spans="1:5" ht="15.6" x14ac:dyDescent="0.25">
      <c r="A3" s="2" t="s">
        <v>22</v>
      </c>
      <c r="B3" s="22">
        <f>'T123'!M24</f>
        <v>130000</v>
      </c>
      <c r="D3" s="2" t="s">
        <v>27</v>
      </c>
      <c r="E3" s="22">
        <f>'T123'!F6</f>
        <v>1000000</v>
      </c>
    </row>
    <row r="4" spans="1:5" x14ac:dyDescent="0.25">
      <c r="A4" s="2" t="s">
        <v>29</v>
      </c>
      <c r="B4" s="22">
        <f>8000</f>
        <v>8000</v>
      </c>
      <c r="D4" s="2" t="s">
        <v>31</v>
      </c>
      <c r="E4" s="22">
        <f>B12</f>
        <v>500000</v>
      </c>
    </row>
    <row r="5" spans="1:5" x14ac:dyDescent="0.25">
      <c r="A5" s="2" t="s">
        <v>34</v>
      </c>
      <c r="B5" s="22">
        <f>'T123'!L7*10+'T123'!L17*5</f>
        <v>12000</v>
      </c>
      <c r="D5" s="2" t="s">
        <v>41</v>
      </c>
      <c r="E5" s="22">
        <f>E3-E4</f>
        <v>500000</v>
      </c>
    </row>
    <row r="6" spans="1:5" x14ac:dyDescent="0.25">
      <c r="A6" s="2" t="s">
        <v>43</v>
      </c>
      <c r="B6" s="22">
        <f>B3+B4-B5</f>
        <v>126000</v>
      </c>
      <c r="D6" s="2" t="s">
        <v>46</v>
      </c>
      <c r="E6" s="22">
        <f>'T78'!G16</f>
        <v>406000</v>
      </c>
    </row>
    <row r="7" spans="1:5" x14ac:dyDescent="0.25">
      <c r="A7" s="2" t="s">
        <v>48</v>
      </c>
      <c r="B7" s="22">
        <f>'T456'!F8</f>
        <v>168000</v>
      </c>
      <c r="D7" s="2" t="s">
        <v>51</v>
      </c>
      <c r="E7" s="22">
        <f>E5-E6</f>
        <v>94000</v>
      </c>
    </row>
    <row r="8" spans="1:5" x14ac:dyDescent="0.25">
      <c r="A8" s="2" t="s">
        <v>55</v>
      </c>
      <c r="B8" s="22">
        <f>'T456'!G26</f>
        <v>231000</v>
      </c>
      <c r="D8" s="2" t="s">
        <v>58</v>
      </c>
      <c r="E8" s="22">
        <f>'T78'!K12</f>
        <v>1500</v>
      </c>
    </row>
    <row r="9" spans="1:5" x14ac:dyDescent="0.25">
      <c r="A9" s="2" t="s">
        <v>60</v>
      </c>
      <c r="B9" s="22">
        <f>B6+B7+B8</f>
        <v>525000</v>
      </c>
      <c r="D9" s="2" t="s">
        <v>61</v>
      </c>
      <c r="E9" s="22">
        <f>E7-E8</f>
        <v>92500</v>
      </c>
    </row>
    <row r="10" spans="1:5" x14ac:dyDescent="0.25">
      <c r="A10" s="2" t="s">
        <v>65</v>
      </c>
      <c r="B10" s="22">
        <f>50000</f>
        <v>50000</v>
      </c>
      <c r="D10" s="2" t="s">
        <v>66</v>
      </c>
      <c r="E10" s="22">
        <f>E9*40%</f>
        <v>37000</v>
      </c>
    </row>
    <row r="11" spans="1:5" x14ac:dyDescent="0.25">
      <c r="A11" s="2" t="s">
        <v>69</v>
      </c>
      <c r="B11" s="22">
        <f>15*'T456'!K13</f>
        <v>75000</v>
      </c>
      <c r="D11" s="2" t="s">
        <v>73</v>
      </c>
      <c r="E11" s="22">
        <f>E9-E10</f>
        <v>55500</v>
      </c>
    </row>
    <row r="12" spans="1:5" x14ac:dyDescent="0.25">
      <c r="A12" s="2" t="s">
        <v>77</v>
      </c>
      <c r="B12" s="22">
        <f>B9+B10-B11</f>
        <v>500000</v>
      </c>
    </row>
  </sheetData>
  <mergeCells count="2">
    <mergeCell ref="A2:B2"/>
    <mergeCell ref="D2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25"/>
  <sheetViews>
    <sheetView workbookViewId="0">
      <selection activeCell="G28" sqref="G28"/>
    </sheetView>
  </sheetViews>
  <sheetFormatPr defaultColWidth="12.6640625" defaultRowHeight="15.75" customHeight="1" x14ac:dyDescent="0.25"/>
  <cols>
    <col min="1" max="1" width="40.6640625" customWidth="1"/>
    <col min="2" max="2" width="16.109375" customWidth="1"/>
    <col min="3" max="3" width="15.6640625" customWidth="1"/>
    <col min="5" max="5" width="46.109375" customWidth="1"/>
    <col min="6" max="6" width="15.21875" customWidth="1"/>
    <col min="7" max="7" width="15.6640625" customWidth="1"/>
  </cols>
  <sheetData>
    <row r="1" spans="1:7" ht="15.75" customHeight="1" x14ac:dyDescent="0.3">
      <c r="A1" s="1" t="s">
        <v>138</v>
      </c>
      <c r="E1" s="1" t="s">
        <v>139</v>
      </c>
    </row>
    <row r="2" spans="1:7" ht="48.6" customHeight="1" x14ac:dyDescent="0.25">
      <c r="A2" s="19" t="s">
        <v>141</v>
      </c>
      <c r="B2" s="19"/>
      <c r="C2" s="19"/>
      <c r="E2" s="19" t="s">
        <v>16</v>
      </c>
      <c r="F2" s="19"/>
      <c r="G2" s="19"/>
    </row>
    <row r="3" spans="1:7" ht="15.6" x14ac:dyDescent="0.25">
      <c r="A3" s="16" t="s">
        <v>142</v>
      </c>
      <c r="B3" s="17"/>
      <c r="C3" s="18"/>
      <c r="E3" s="3" t="s">
        <v>143</v>
      </c>
      <c r="F3" s="22"/>
      <c r="G3" s="22"/>
    </row>
    <row r="4" spans="1:7" x14ac:dyDescent="0.25">
      <c r="A4" s="3" t="s">
        <v>144</v>
      </c>
      <c r="B4" s="22"/>
      <c r="C4" s="22"/>
      <c r="E4" s="2" t="s">
        <v>145</v>
      </c>
      <c r="F4" s="22">
        <f>'T910'!E11</f>
        <v>55500</v>
      </c>
      <c r="G4" s="22"/>
    </row>
    <row r="5" spans="1:7" x14ac:dyDescent="0.25">
      <c r="A5" s="2" t="s">
        <v>146</v>
      </c>
      <c r="B5" s="22">
        <f>'T78'!M26</f>
        <v>100000</v>
      </c>
      <c r="C5" s="22"/>
      <c r="E5" s="3" t="s">
        <v>147</v>
      </c>
      <c r="F5" s="22"/>
      <c r="G5" s="22"/>
    </row>
    <row r="6" spans="1:7" x14ac:dyDescent="0.25">
      <c r="A6" s="2" t="s">
        <v>148</v>
      </c>
      <c r="B6" s="22">
        <f>20000</f>
        <v>20000</v>
      </c>
      <c r="C6" s="22"/>
      <c r="E6" s="2" t="s">
        <v>149</v>
      </c>
      <c r="F6" s="22">
        <f>'T78'!G11+'T456'!G22</f>
        <v>80000</v>
      </c>
      <c r="G6" s="22"/>
    </row>
    <row r="7" spans="1:7" x14ac:dyDescent="0.25">
      <c r="A7" s="2" t="s">
        <v>150</v>
      </c>
      <c r="B7" s="22">
        <f>'T910'!B5</f>
        <v>12000</v>
      </c>
      <c r="C7" s="22"/>
      <c r="E7" s="2" t="s">
        <v>151</v>
      </c>
      <c r="F7" s="22">
        <f>60000-B6</f>
        <v>40000</v>
      </c>
      <c r="G7" s="22"/>
    </row>
    <row r="8" spans="1:7" x14ac:dyDescent="0.25">
      <c r="A8" s="2" t="s">
        <v>152</v>
      </c>
      <c r="B8" s="22">
        <f>'T910'!B11</f>
        <v>75000</v>
      </c>
      <c r="C8" s="22">
        <f>SUM(B5:B8)</f>
        <v>207000</v>
      </c>
      <c r="E8" s="2" t="s">
        <v>153</v>
      </c>
      <c r="F8" s="22">
        <f>8000-12000</f>
        <v>-4000</v>
      </c>
      <c r="G8" s="22"/>
    </row>
    <row r="9" spans="1:7" x14ac:dyDescent="0.25">
      <c r="A9" s="3" t="s">
        <v>154</v>
      </c>
      <c r="B9" s="22"/>
      <c r="C9" s="22"/>
      <c r="E9" s="2" t="s">
        <v>155</v>
      </c>
      <c r="F9" s="22">
        <f>50000-B8</f>
        <v>-25000</v>
      </c>
      <c r="G9" s="22"/>
    </row>
    <row r="10" spans="1:7" x14ac:dyDescent="0.25">
      <c r="A10" s="2" t="s">
        <v>156</v>
      </c>
      <c r="B10" s="22">
        <f>231500</f>
        <v>231500</v>
      </c>
      <c r="C10" s="22"/>
      <c r="E10" s="2" t="s">
        <v>157</v>
      </c>
      <c r="F10" s="22">
        <f>-(10000-B16)</f>
        <v>-3000</v>
      </c>
      <c r="G10" s="22"/>
    </row>
    <row r="11" spans="1:7" x14ac:dyDescent="0.25">
      <c r="A11" s="2" t="s">
        <v>158</v>
      </c>
      <c r="B11" s="22">
        <f>1500000+'T78'!M14</f>
        <v>1600000</v>
      </c>
      <c r="C11" s="22"/>
      <c r="E11" s="2" t="s">
        <v>159</v>
      </c>
      <c r="F11" s="22">
        <f>-(96000-B17)</f>
        <v>-59000</v>
      </c>
      <c r="G11" s="22"/>
    </row>
    <row r="12" spans="1:7" ht="15.75" customHeight="1" x14ac:dyDescent="0.25">
      <c r="A12" s="2" t="s">
        <v>160</v>
      </c>
      <c r="B12" s="22">
        <f>120000+'T456'!G22+'T78'!G11</f>
        <v>200000</v>
      </c>
      <c r="C12" s="22">
        <f>B10+B11-B12</f>
        <v>1631500</v>
      </c>
      <c r="E12" s="3" t="s">
        <v>161</v>
      </c>
      <c r="F12" s="22"/>
      <c r="G12" s="22">
        <f>SUM(F4:F11)</f>
        <v>84500</v>
      </c>
    </row>
    <row r="13" spans="1:7" x14ac:dyDescent="0.25">
      <c r="A13" s="5" t="s">
        <v>162</v>
      </c>
      <c r="B13" s="22"/>
      <c r="C13" s="22">
        <f>C8+C12</f>
        <v>1838500</v>
      </c>
      <c r="E13" s="2"/>
      <c r="F13" s="2"/>
      <c r="G13" s="2"/>
    </row>
    <row r="14" spans="1:7" x14ac:dyDescent="0.25">
      <c r="A14" s="10" t="s">
        <v>163</v>
      </c>
      <c r="B14" s="7"/>
      <c r="C14" s="8"/>
      <c r="E14" s="3" t="s">
        <v>164</v>
      </c>
      <c r="F14" s="22"/>
      <c r="G14" s="22"/>
    </row>
    <row r="15" spans="1:7" x14ac:dyDescent="0.25">
      <c r="A15" s="3" t="s">
        <v>165</v>
      </c>
      <c r="B15" s="22"/>
      <c r="C15" s="22"/>
      <c r="E15" s="2" t="s">
        <v>166</v>
      </c>
      <c r="F15" s="22">
        <f>-'T78'!M14</f>
        <v>-100000</v>
      </c>
      <c r="G15" s="22"/>
    </row>
    <row r="16" spans="1:7" ht="15.6" x14ac:dyDescent="0.25">
      <c r="A16" s="2" t="s">
        <v>167</v>
      </c>
      <c r="B16" s="22">
        <f>'T123'!L24*25%</f>
        <v>7000</v>
      </c>
      <c r="C16" s="22"/>
      <c r="E16" s="3" t="s">
        <v>168</v>
      </c>
      <c r="F16" s="22"/>
      <c r="G16" s="22">
        <f>F15</f>
        <v>-100000</v>
      </c>
    </row>
    <row r="17" spans="1:7" x14ac:dyDescent="0.25">
      <c r="A17" s="2" t="s">
        <v>169</v>
      </c>
      <c r="B17" s="22">
        <f>'T910'!E10</f>
        <v>37000</v>
      </c>
      <c r="C17" s="22"/>
      <c r="E17" s="2"/>
      <c r="F17" s="22"/>
      <c r="G17" s="22"/>
    </row>
    <row r="18" spans="1:7" ht="15.75" customHeight="1" x14ac:dyDescent="0.3">
      <c r="A18" s="6" t="s">
        <v>170</v>
      </c>
      <c r="B18" s="22">
        <f>'T78'!M25</f>
        <v>8500</v>
      </c>
      <c r="C18" s="22">
        <f>B16+B17+B18</f>
        <v>52500</v>
      </c>
      <c r="E18" s="3" t="s">
        <v>171</v>
      </c>
      <c r="F18" s="22"/>
      <c r="G18" s="22"/>
    </row>
    <row r="19" spans="1:7" x14ac:dyDescent="0.25">
      <c r="A19" s="3" t="s">
        <v>172</v>
      </c>
      <c r="B19" s="22"/>
      <c r="C19" s="22"/>
      <c r="E19" s="2" t="s">
        <v>173</v>
      </c>
      <c r="F19" s="22">
        <f>60000+8500</f>
        <v>68500</v>
      </c>
      <c r="G19" s="22"/>
    </row>
    <row r="20" spans="1:7" x14ac:dyDescent="0.25">
      <c r="A20" s="2" t="s">
        <v>174</v>
      </c>
      <c r="B20" s="22">
        <f>1000000</f>
        <v>1000000</v>
      </c>
      <c r="C20" s="22"/>
      <c r="E20" s="2" t="s">
        <v>175</v>
      </c>
      <c r="F20" s="22">
        <f>-30000</f>
        <v>-30000</v>
      </c>
      <c r="G20" s="22"/>
    </row>
    <row r="21" spans="1:7" x14ac:dyDescent="0.25">
      <c r="A21" s="2" t="s">
        <v>176</v>
      </c>
      <c r="B21" s="22">
        <f>250000</f>
        <v>250000</v>
      </c>
      <c r="C21" s="22"/>
      <c r="E21" s="2" t="s">
        <v>177</v>
      </c>
      <c r="F21" s="22">
        <f>-60000</f>
        <v>-60000</v>
      </c>
      <c r="G21" s="22"/>
    </row>
    <row r="22" spans="1:7" ht="15.6" x14ac:dyDescent="0.25">
      <c r="A22" s="2" t="s">
        <v>178</v>
      </c>
      <c r="B22" s="22">
        <f>510500+'T910'!E11-'T78'!L13</f>
        <v>536000</v>
      </c>
      <c r="C22" s="22">
        <f>SUM(B20:B22)</f>
        <v>1786000</v>
      </c>
      <c r="E22" s="3" t="s">
        <v>179</v>
      </c>
      <c r="F22" s="22"/>
      <c r="G22" s="22">
        <f>F19+F20+F21</f>
        <v>-21500</v>
      </c>
    </row>
    <row r="23" spans="1:7" x14ac:dyDescent="0.25">
      <c r="A23" s="2" t="s">
        <v>180</v>
      </c>
      <c r="B23" s="22"/>
      <c r="C23" s="22">
        <f>C18+C22</f>
        <v>1838500</v>
      </c>
      <c r="E23" s="2" t="s">
        <v>181</v>
      </c>
      <c r="F23" s="22"/>
      <c r="G23" s="22">
        <f>G12+G16+G22</f>
        <v>-37000</v>
      </c>
    </row>
    <row r="24" spans="1:7" ht="15.6" x14ac:dyDescent="0.25">
      <c r="E24" s="3" t="s">
        <v>182</v>
      </c>
      <c r="F24" s="22"/>
      <c r="G24" s="22">
        <f>137000</f>
        <v>137000</v>
      </c>
    </row>
    <row r="25" spans="1:7" ht="15.6" x14ac:dyDescent="0.25">
      <c r="E25" s="3" t="s">
        <v>133</v>
      </c>
      <c r="F25" s="22"/>
      <c r="G25" s="22">
        <f>G23+G24</f>
        <v>100000</v>
      </c>
    </row>
  </sheetData>
  <mergeCells count="4">
    <mergeCell ref="A2:C2"/>
    <mergeCell ref="E2:G2"/>
    <mergeCell ref="A3:C3"/>
    <mergeCell ref="A14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T123</vt:lpstr>
      <vt:lpstr>T456</vt:lpstr>
      <vt:lpstr>T78</vt:lpstr>
      <vt:lpstr>T910</vt:lpstr>
      <vt:lpstr>T1112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Thu Phượng</cp:lastModifiedBy>
  <dcterms:modified xsi:type="dcterms:W3CDTF">2026-10-03T02:44:19Z</dcterms:modified>
</cp:coreProperties>
</file>